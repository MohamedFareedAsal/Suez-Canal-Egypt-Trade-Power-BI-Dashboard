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145" windowHeight="9480" tabRatio="500"/>
  </bookViews>
  <sheets>
    <sheet name="Suez_Canal" sheetId="2" r:id="rId1"/>
    <sheet name="Foreign_Trade" sheetId="3" r:id="rId2"/>
    <sheet name="Macro_Indicators" sheetId="4" r:id="rId3"/>
    <sheet name="Even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<sst xmlns="http://schemas.openxmlformats.org/spreadsheetml/2006/main" count="455" uniqueCount="83">
  <si>
    <t xml:space="preserve">🚢  SUEZ CANAL –  Traffic &amp; Revenue </t>
  </si>
  <si>
    <t>Date</t>
  </si>
  <si>
    <t>Revenue
(USD M)</t>
  </si>
  <si>
    <t>Ships
(count)</t>
  </si>
  <si>
    <t>Net Tonnage
(M tons)</t>
  </si>
  <si>
    <t>Avg Revenue
Per Ship (USD)</t>
  </si>
  <si>
    <t>Data
Quality</t>
  </si>
  <si>
    <t>Revenue_12M_MA</t>
  </si>
  <si>
    <t>Estimated*</t>
  </si>
  <si>
    <t>Actual</t>
  </si>
  <si>
    <t xml:space="preserve">📦  EGYPT FOREIGN TRADE –  Exports &amp; Imports  </t>
  </si>
  <si>
    <t>Exports
(USD M)</t>
  </si>
  <si>
    <t>Imports
(USD M)</t>
  </si>
  <si>
    <t>Trade Balance
(USD M)</t>
  </si>
  <si>
    <t>Trade Coverage
Ratio (%)</t>
  </si>
  <si>
    <t xml:space="preserve">📊  EGYPT MACRO INDICATORS </t>
  </si>
  <si>
    <t>USD/EGP
Exchange Rate</t>
  </si>
  <si>
    <t>CPI Inflation
YoY (%)</t>
  </si>
  <si>
    <t>Foreign Reserves
(USD Billion)</t>
  </si>
  <si>
    <t>Brent Oil
(USD/barrel)</t>
  </si>
  <si>
    <t>📅  KEY EVENTS AFFECTING SUEZ CANAL &amp; EGYPT TRADE  |  2015–2024</t>
  </si>
  <si>
    <t>Event</t>
  </si>
  <si>
    <t>Impact Category</t>
  </si>
  <si>
    <t>Expected Effect on Canal / Trade</t>
  </si>
  <si>
    <t>2015-08</t>
  </si>
  <si>
    <t>EGP first devaluation pressures / SNB shock</t>
  </si>
  <si>
    <t>FX / Macro</t>
  </si>
  <si>
    <t>Import cost pressure; reserves decline</t>
  </si>
  <si>
    <t>2016-08</t>
  </si>
  <si>
    <t>New Suez Canal expansion inaugurated</t>
  </si>
  <si>
    <t>Infrastructure</t>
  </si>
  <si>
    <t>Added parallel lane; increased vessel capacity</t>
  </si>
  <si>
    <t>2016-11</t>
  </si>
  <si>
    <t>EGP float – devaluation from 8.8 to 17.7</t>
  </si>
  <si>
    <t>Sharp import contraction; export competitiveness boost</t>
  </si>
  <si>
    <t>2017-01</t>
  </si>
  <si>
    <t>IMF $12B loan program begins</t>
  </si>
  <si>
    <t>Macro / FX</t>
  </si>
  <si>
    <t>Reserve recovery; fiscal consolidation</t>
  </si>
  <si>
    <t>2020-03</t>
  </si>
  <si>
    <t>COVID-19 pandemic – global lockdown</t>
  </si>
  <si>
    <t>Global Shock</t>
  </si>
  <si>
    <t>Trade collapse; oil price crash; canal traffic dip</t>
  </si>
  <si>
    <t>2020-04</t>
  </si>
  <si>
    <t>Brent oil drops below $20/barrel</t>
  </si>
  <si>
    <t>Commodity</t>
  </si>
  <si>
    <t>Reduced tanker traffic; lower SCA revenues</t>
  </si>
  <si>
    <t>2021-03</t>
  </si>
  <si>
    <t>MV Ever Given grounding (6 days)</t>
  </si>
  <si>
    <t>Canal Disruption</t>
  </si>
  <si>
    <t>Temporary 6-day full blockage; ~$9.6B/day trade loss</t>
  </si>
  <si>
    <t>2022-02</t>
  </si>
  <si>
    <t>Russia–Ukraine war begins</t>
  </si>
  <si>
    <t>Geopolitical</t>
  </si>
  <si>
    <t>Global food/energy shock; wheat import surge for Egypt</t>
  </si>
  <si>
    <t>2022-03</t>
  </si>
  <si>
    <t>EGP 2nd devaluation: 17.5 → 18.2</t>
  </si>
  <si>
    <t>Import cost surge; inflation acceleration</t>
  </si>
  <si>
    <t>2022-06</t>
  </si>
  <si>
    <t>Brent crude peaks ~$122/barrel</t>
  </si>
  <si>
    <t>Tanker revenue boost; Egypt energy import costs rise</t>
  </si>
  <si>
    <t>2022-11</t>
  </si>
  <si>
    <t>EGP 3rd devaluation: 19.6 → 24.6</t>
  </si>
  <si>
    <t>Balance of payments pressure; IMF negotiations</t>
  </si>
  <si>
    <t>2023-01</t>
  </si>
  <si>
    <t>EGP 4th devaluation: 24.6 → 29.5+</t>
  </si>
  <si>
    <t>Ongoing currency crisis; CPI peaks above 35%</t>
  </si>
  <si>
    <t>2023-10</t>
  </si>
  <si>
    <t>Gaza war begins; Houthi attacks escalate</t>
  </si>
  <si>
    <t>Red Sea disruption begins; canal diversions start</t>
  </si>
  <si>
    <t>2023-12</t>
  </si>
  <si>
    <t>Major shipping lines reroute via Cape of Good Hope</t>
  </si>
  <si>
    <t>Canal traffic starts falling sharply</t>
  </si>
  <si>
    <t>2024-01</t>
  </si>
  <si>
    <t>Red Sea crisis peak – canal traffic −50%</t>
  </si>
  <si>
    <t>Revenue halved; Egypt FX pressure intensifies</t>
  </si>
  <si>
    <t>2024-03</t>
  </si>
  <si>
    <t>EGP 5th devaluation: 30.9 → 49.8 (IMF deal)</t>
  </si>
  <si>
    <t>Largest devaluation; reserves jump post-IMF inflows</t>
  </si>
  <si>
    <t>2024-10</t>
  </si>
  <si>
    <t>Reserves exceed $50B for first time</t>
  </si>
  <si>
    <t>Macro</t>
  </si>
  <si>
    <t>Confidence signal; partial canal traffic recovery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</si>
</sst>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"/>
    <numFmt numFmtId="179" formatCode="0.0"/>
    <numFmt numFmtId="180" formatCode="#,##0.0"/>
    <numFmt numFmtId="181" formatCode="#,##0.0\ &quot;M&quot;"/>
    <numFmt numFmtId="182" formatCode="#,##0.0;[Red]\-#,##0.0"/>
    <numFmt numFmtId="183" formatCode="0.0%"/>
    <numFmt numFmtId="184" formatCode="&quot;$&quot;#,##0"/>
  </numFmts>
  <fonts count="28">
    <font>
      <sz val="11"/>
      <color theme="1"/>
      <name val="Calibri"/>
      <charset val="1"/>
    </font>
    <font>
      <b/>
      <sz val="14"/>
      <name val="Arial"/>
      <charset val="134"/>
    </font>
    <font>
      <b/>
      <sz val="11"/>
      <color theme="0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i/>
      <sz val="9"/>
      <color rgb="FF595959"/>
      <name val="Arial"/>
      <charset val="134"/>
    </font>
    <font>
      <b/>
      <sz val="11"/>
      <color theme="1"/>
      <name val="Calibri"/>
      <charset val="1"/>
    </font>
    <font>
      <b/>
      <sz val="10"/>
      <color theme="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9E1F2"/>
        <bgColor rgb="FFCCFFFF"/>
      </patternFill>
    </fill>
    <fill>
      <patternFill patternType="solid">
        <fgColor rgb="FFC9A84C"/>
        <bgColor rgb="FFCCFFFF"/>
      </patternFill>
    </fill>
    <fill>
      <patternFill patternType="solid">
        <fgColor rgb="FFC9A84C"/>
        <bgColor rgb="FFFFFFCC"/>
      </patternFill>
    </fill>
    <fill>
      <patternFill patternType="solid">
        <fgColor rgb="FFC9A84C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rgb="FFC00000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1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19" applyNumberFormat="0" applyAlignment="0" applyProtection="0">
      <alignment vertical="center"/>
    </xf>
    <xf numFmtId="0" fontId="19" fillId="13" borderId="18" applyNumberFormat="0" applyAlignment="0" applyProtection="0">
      <alignment vertical="center"/>
    </xf>
    <xf numFmtId="0" fontId="20" fillId="14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58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58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78" fontId="3" fillId="3" borderId="6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78" fontId="3" fillId="4" borderId="6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179" fontId="3" fillId="4" borderId="1" xfId="0" applyNumberFormat="1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78" fontId="3" fillId="4" borderId="8" xfId="0" applyNumberFormat="1" applyFont="1" applyFill="1" applyBorder="1" applyAlignment="1">
      <alignment horizontal="center" vertical="center"/>
    </xf>
    <xf numFmtId="4" fontId="3" fillId="4" borderId="9" xfId="0" applyNumberFormat="1" applyFont="1" applyFill="1" applyBorder="1" applyAlignment="1">
      <alignment horizontal="center" vertical="center"/>
    </xf>
    <xf numFmtId="179" fontId="3" fillId="4" borderId="9" xfId="0" applyNumberFormat="1" applyFont="1" applyFill="1" applyBorder="1" applyAlignment="1">
      <alignment horizontal="center" vertical="center"/>
    </xf>
    <xf numFmtId="180" fontId="3" fillId="4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178" fontId="3" fillId="3" borderId="11" xfId="0" applyNumberFormat="1" applyFont="1" applyFill="1" applyBorder="1" applyAlignment="1">
      <alignment horizontal="center" vertical="center"/>
    </xf>
    <xf numFmtId="4" fontId="3" fillId="3" borderId="12" xfId="0" applyNumberFormat="1" applyFont="1" applyFill="1" applyBorder="1" applyAlignment="1">
      <alignment horizontal="center" vertical="center"/>
    </xf>
    <xf numFmtId="179" fontId="3" fillId="3" borderId="12" xfId="0" applyNumberFormat="1" applyFont="1" applyFill="1" applyBorder="1" applyAlignment="1">
      <alignment horizontal="center" vertical="center"/>
    </xf>
    <xf numFmtId="180" fontId="3" fillId="3" borderId="12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78" fontId="3" fillId="4" borderId="3" xfId="0" applyNumberFormat="1" applyFont="1" applyFill="1" applyBorder="1" applyAlignment="1">
      <alignment horizontal="center" vertical="center"/>
    </xf>
    <xf numFmtId="4" fontId="3" fillId="4" borderId="4" xfId="0" applyNumberFormat="1" applyFont="1" applyFill="1" applyBorder="1" applyAlignment="1">
      <alignment horizontal="center" vertical="center"/>
    </xf>
    <xf numFmtId="179" fontId="3" fillId="4" borderId="4" xfId="0" applyNumberFormat="1" applyFont="1" applyFill="1" applyBorder="1" applyAlignment="1">
      <alignment horizontal="center" vertical="center"/>
    </xf>
    <xf numFmtId="180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80" fontId="3" fillId="5" borderId="1" xfId="0" applyNumberFormat="1" applyFont="1" applyFill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center" vertical="center"/>
    </xf>
    <xf numFmtId="181" fontId="3" fillId="3" borderId="1" xfId="0" applyNumberFormat="1" applyFont="1" applyFill="1" applyBorder="1" applyAlignment="1">
      <alignment horizontal="center" vertical="center"/>
    </xf>
    <xf numFmtId="182" fontId="3" fillId="0" borderId="1" xfId="0" applyNumberFormat="1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181" fontId="3" fillId="4" borderId="1" xfId="0" applyNumberFormat="1" applyFont="1" applyFill="1" applyBorder="1" applyAlignment="1">
      <alignment horizontal="center" vertical="center"/>
    </xf>
    <xf numFmtId="181" fontId="3" fillId="4" borderId="9" xfId="0" applyNumberFormat="1" applyFont="1" applyFill="1" applyBorder="1" applyAlignment="1">
      <alignment horizontal="center" vertical="center"/>
    </xf>
    <xf numFmtId="182" fontId="3" fillId="0" borderId="9" xfId="0" applyNumberFormat="1" applyFont="1" applyBorder="1" applyAlignment="1">
      <alignment horizontal="center" vertical="center"/>
    </xf>
    <xf numFmtId="183" fontId="3" fillId="0" borderId="9" xfId="0" applyNumberFormat="1" applyFont="1" applyBorder="1" applyAlignment="1">
      <alignment horizontal="center" vertical="center"/>
    </xf>
    <xf numFmtId="181" fontId="3" fillId="3" borderId="12" xfId="0" applyNumberFormat="1" applyFont="1" applyFill="1" applyBorder="1" applyAlignment="1">
      <alignment horizontal="center" vertical="center"/>
    </xf>
    <xf numFmtId="182" fontId="3" fillId="0" borderId="12" xfId="0" applyNumberFormat="1" applyFont="1" applyBorder="1" applyAlignment="1">
      <alignment horizontal="center" vertical="center"/>
    </xf>
    <xf numFmtId="183" fontId="3" fillId="0" borderId="12" xfId="0" applyNumberFormat="1" applyFont="1" applyBorder="1" applyAlignment="1">
      <alignment horizontal="center" vertical="center"/>
    </xf>
    <xf numFmtId="181" fontId="3" fillId="4" borderId="4" xfId="0" applyNumberFormat="1" applyFont="1" applyFill="1" applyBorder="1" applyAlignment="1">
      <alignment horizontal="center" vertical="center"/>
    </xf>
    <xf numFmtId="182" fontId="3" fillId="0" borderId="4" xfId="0" applyNumberFormat="1" applyFont="1" applyBorder="1" applyAlignment="1">
      <alignment horizontal="center" vertical="center"/>
    </xf>
    <xf numFmtId="183" fontId="3" fillId="0" borderId="4" xfId="0" applyNumberFormat="1" applyFont="1" applyBorder="1" applyAlignment="1">
      <alignment horizontal="center" vertical="center"/>
    </xf>
    <xf numFmtId="183" fontId="4" fillId="6" borderId="1" xfId="0" applyNumberFormat="1" applyFont="1" applyFill="1" applyBorder="1" applyAlignment="1">
      <alignment horizontal="center" vertical="center"/>
    </xf>
    <xf numFmtId="181" fontId="4" fillId="5" borderId="1" xfId="0" applyNumberFormat="1" applyFont="1" applyFill="1" applyBorder="1" applyAlignment="1">
      <alignment horizontal="center" vertical="center"/>
    </xf>
    <xf numFmtId="182" fontId="4" fillId="7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/>
    </xf>
    <xf numFmtId="184" fontId="3" fillId="0" borderId="1" xfId="0" applyNumberFormat="1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181" fontId="3" fillId="4" borderId="0" xfId="0" applyNumberFormat="1" applyFont="1" applyFill="1" applyAlignment="1">
      <alignment horizontal="center" vertical="center"/>
    </xf>
    <xf numFmtId="178" fontId="3" fillId="8" borderId="6" xfId="0" applyNumberFormat="1" applyFont="1" applyFill="1" applyBorder="1" applyAlignment="1">
      <alignment horizontal="center" vertical="center"/>
    </xf>
    <xf numFmtId="10" fontId="0" fillId="0" borderId="0" xfId="0" applyNumberFormat="1"/>
    <xf numFmtId="178" fontId="3" fillId="0" borderId="6" xfId="0" applyNumberFormat="1" applyFont="1" applyBorder="1" applyAlignment="1">
      <alignment horizontal="center" vertical="center"/>
    </xf>
    <xf numFmtId="178" fontId="3" fillId="9" borderId="6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80" fontId="4" fillId="5" borderId="1" xfId="0" applyNumberFormat="1" applyFont="1" applyFill="1" applyBorder="1" applyAlignment="1">
      <alignment horizontal="center" vertical="center"/>
    </xf>
    <xf numFmtId="184" fontId="4" fillId="6" borderId="1" xfId="0" applyNumberFormat="1" applyFont="1" applyFill="1" applyBorder="1" applyAlignment="1">
      <alignment horizontal="center" vertical="center"/>
    </xf>
    <xf numFmtId="181" fontId="7" fillId="10" borderId="1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184" fontId="3" fillId="0" borderId="9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78" formatCode="yyyy\-mm"/>
      <fill>
        <patternFill patternType="solid">
          <fgColor rgb="FFCCFFFF"/>
          <bgColor rgb="FFD9E1F2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1" formatCode="#,##0.0\ &quot;M&quot;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3" formatCode="#,##0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0" formatCode="#,##0.0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4" formatCode="&quot;$&quot;#,##0"/>
      <fill>
        <patternFill patternType="solid">
          <fgColor rgb="FFFFFFCC"/>
          <bgColor theme="5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fill>
        <patternFill patternType="solid">
          <fgColor rgb="FFCCFFFF"/>
          <bgColor rgb="FFD9E1F2"/>
        </patternFill>
      </fill>
      <alignment horizontal="center" vertical="center"/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78" formatCode="yyyy\-mm"/>
      <fill>
        <patternFill patternType="solid">
          <fgColor rgb="FFCCFFFF"/>
          <bgColor rgb="FFD9E1F2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1" formatCode="#,##0.0\ &quot;M&quot;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1" formatCode="#,##0.0\ &quot;M&quot;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2" formatCode="#,##0.0;[Red]\-#,##0.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3" formatCode="0.0%"/>
      <fill>
        <patternFill patternType="solid">
          <fgColor rgb="FFFFFFCC"/>
          <bgColor theme="5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rgb="FF00B050"/>
      </font>
    </dxf>
    <dxf>
      <font>
        <color rgb="FFC00000"/>
      </font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78" formatCode="yyyy\-mm"/>
      <fill>
        <patternFill patternType="solid">
          <fgColor rgb="FFCCFFFF"/>
          <bgColor rgb="FFD9E1F2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4" formatCode="#,##0.00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79" formatCode="0.0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0" formatCode="#,##0.0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0" formatCode="#,##0.0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AC775"/>
      <color rgb="0094A3B8"/>
      <color rgb="00F09595"/>
      <color rgb="001F3864"/>
      <color rgb="00BFBFBF"/>
      <color rgb="00D3E319"/>
      <color rgb="00CE292F"/>
      <color rgb="00F2F2F2"/>
      <color rgb="00FFFFFF"/>
      <color rgb="00C9A84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2:G122" totalsRowShown="0">
  <autoFilter xmlns:etc="http://www.wps.cn/officeDocument/2017/etCustomData" ref="A2:G122" etc:filterBottomFollowUsedRange="0"/>
  <tableColumns count="7">
    <tableColumn id="1" name="Date" dataDxfId="0"/>
    <tableColumn id="2" name="Revenue&#10;(USD M)" dataDxfId="1"/>
    <tableColumn id="3" name="Ships&#10;(count)" dataDxfId="2"/>
    <tableColumn id="4" name="Net Tonnage&#10;(M tons)" dataDxfId="3"/>
    <tableColumn id="5" name="Avg Revenue&#10;Per Ship (USD)" dataDxfId="4">
      <calculatedColumnFormula>(B3*1000000)/C3</calculatedColumnFormula>
    </tableColumn>
    <tableColumn id="6" name="Data&#10;Quality" dataDxfId="5"/>
    <tableColumn id="7" name="Revenue_12M_MA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:F122" totalsRowShown="0">
  <autoFilter xmlns:etc="http://www.wps.cn/officeDocument/2017/etCustomData" ref="A2:F122" etc:filterBottomFollowUsedRange="0"/>
  <tableColumns count="6">
    <tableColumn id="1" name="Date" dataDxfId="7"/>
    <tableColumn id="2" name="Exports&#10;(USD M)" dataDxfId="8"/>
    <tableColumn id="3" name="Imports&#10;(USD M)" dataDxfId="9"/>
    <tableColumn id="4" name="Trade Balance&#10;(USD M)" dataDxfId="10">
      <calculatedColumnFormula>B3-C3</calculatedColumnFormula>
    </tableColumn>
    <tableColumn id="5" name="Trade Coverage&#10;Ratio (%)" dataDxfId="11">
      <calculatedColumnFormula>B3/C3</calculatedColumnFormula>
    </tableColumn>
    <tableColumn id="6" name="Data&#10;Quality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2:F122" totalsRowShown="0">
  <autoFilter xmlns:etc="http://www.wps.cn/officeDocument/2017/etCustomData" ref="A2:F122" etc:filterBottomFollowUsedRange="0"/>
  <tableColumns count="6">
    <tableColumn id="1" name="Date" dataDxfId="15"/>
    <tableColumn id="2" name="USD/EGP&#10;Exchange Rate" dataDxfId="16"/>
    <tableColumn id="3" name="CPI Inflation&#10;YoY (%)" dataDxfId="17"/>
    <tableColumn id="4" name="Foreign Reserves&#10;(USD Billion)" dataDxfId="18"/>
    <tableColumn id="5" name="Brent Oil&#10;(USD/barrel)" dataDxfId="19"/>
    <tableColumn id="6" name="Data&#10;Quality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"/>
  <sheetViews>
    <sheetView showGridLines="0" tabSelected="1" workbookViewId="0">
      <pane ySplit="2" topLeftCell="A3" activePane="bottomLeft" state="frozen"/>
      <selection/>
      <selection pane="bottomLeft" activeCell="M14" sqref="M14"/>
    </sheetView>
  </sheetViews>
  <sheetFormatPr defaultColWidth="8.71428571428571" defaultRowHeight="15"/>
  <cols>
    <col min="1" max="1" width="12" customWidth="1"/>
    <col min="2" max="2" width="16" customWidth="1"/>
    <col min="3" max="3" width="12" customWidth="1"/>
    <col min="4" max="5" width="18" customWidth="1"/>
    <col min="6" max="6" width="22" customWidth="1"/>
    <col min="7" max="7" width="32.1428571428571" customWidth="1"/>
    <col min="10" max="11" width="10.2857142857143" customWidth="1"/>
  </cols>
  <sheetData>
    <row r="1" ht="27.75" customHeight="1" spans="1:7">
      <c r="A1" s="56" t="s">
        <v>0</v>
      </c>
      <c r="B1" s="57"/>
      <c r="C1" s="57"/>
      <c r="D1" s="57"/>
      <c r="E1" s="57"/>
      <c r="F1" s="58"/>
    </row>
    <row r="2" s="55" customFormat="1" ht="36" customHeight="1" spans="1:7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8" t="s">
        <v>7</v>
      </c>
    </row>
    <row r="3" customHeight="1" spans="1:7">
      <c r="A3" s="10">
        <v>42005</v>
      </c>
      <c r="B3" s="38">
        <v>456.9</v>
      </c>
      <c r="C3" s="59">
        <v>1486</v>
      </c>
      <c r="D3" s="13">
        <v>81.8</v>
      </c>
      <c r="E3" s="60">
        <f>(B3*1000000)/C3</f>
        <v>307469.717362046</v>
      </c>
      <c r="F3" s="61" t="s">
        <v>8</v>
      </c>
      <c r="G3" s="62"/>
    </row>
    <row r="4" customHeight="1" spans="1:7">
      <c r="A4" s="15">
        <v>42036</v>
      </c>
      <c r="B4" s="41">
        <v>434.5</v>
      </c>
      <c r="C4" s="63">
        <v>1413</v>
      </c>
      <c r="D4" s="18">
        <v>77.8</v>
      </c>
      <c r="E4" s="60">
        <f t="shared" ref="E4:E67" si="0">(B4*1000000)/C4</f>
        <v>307501.769285209</v>
      </c>
      <c r="F4" s="19" t="s">
        <v>8</v>
      </c>
      <c r="G4" s="62"/>
    </row>
    <row r="5" customHeight="1" spans="1:7">
      <c r="A5" s="10">
        <v>42064</v>
      </c>
      <c r="B5" s="38">
        <v>425.5</v>
      </c>
      <c r="C5" s="59">
        <v>1384</v>
      </c>
      <c r="D5" s="13">
        <v>76.2</v>
      </c>
      <c r="E5" s="60">
        <f t="shared" si="0"/>
        <v>307442.196531792</v>
      </c>
      <c r="F5" s="14" t="s">
        <v>8</v>
      </c>
      <c r="G5" s="62"/>
    </row>
    <row r="6" customHeight="1" spans="1:7">
      <c r="A6" s="15">
        <v>42095</v>
      </c>
      <c r="B6" s="41">
        <v>430</v>
      </c>
      <c r="C6" s="63">
        <v>1399</v>
      </c>
      <c r="D6" s="18">
        <v>77</v>
      </c>
      <c r="E6" s="60">
        <f t="shared" si="0"/>
        <v>307362.401715511</v>
      </c>
      <c r="F6" s="19" t="s">
        <v>8</v>
      </c>
      <c r="G6" s="62"/>
    </row>
    <row r="7" customHeight="1" spans="1:7">
      <c r="A7" s="10">
        <v>42125</v>
      </c>
      <c r="B7" s="38">
        <v>443.4</v>
      </c>
      <c r="C7" s="59">
        <v>1442</v>
      </c>
      <c r="D7" s="13">
        <v>79.4</v>
      </c>
      <c r="E7" s="60">
        <f t="shared" si="0"/>
        <v>307489.59778086</v>
      </c>
      <c r="F7" s="14" t="s">
        <v>8</v>
      </c>
      <c r="G7" s="62"/>
    </row>
    <row r="8" customHeight="1" spans="1:7">
      <c r="A8" s="15">
        <v>42156</v>
      </c>
      <c r="B8" s="41">
        <v>452.4</v>
      </c>
      <c r="C8" s="63">
        <v>1471</v>
      </c>
      <c r="D8" s="18">
        <v>81</v>
      </c>
      <c r="E8" s="60">
        <f t="shared" si="0"/>
        <v>307545.887151598</v>
      </c>
      <c r="F8" s="19" t="s">
        <v>8</v>
      </c>
      <c r="G8" s="62"/>
    </row>
    <row r="9" customHeight="1" spans="1:7">
      <c r="A9" s="10">
        <v>42186</v>
      </c>
      <c r="B9" s="38">
        <v>456.9</v>
      </c>
      <c r="C9" s="59">
        <v>1486</v>
      </c>
      <c r="D9" s="13">
        <v>81.8</v>
      </c>
      <c r="E9" s="60">
        <f t="shared" si="0"/>
        <v>307469.717362046</v>
      </c>
      <c r="F9" s="14" t="s">
        <v>8</v>
      </c>
      <c r="G9" s="62"/>
    </row>
    <row r="10" customHeight="1" spans="1:7">
      <c r="A10" s="15">
        <v>42217</v>
      </c>
      <c r="B10" s="41">
        <v>461.4</v>
      </c>
      <c r="C10" s="63">
        <v>1501</v>
      </c>
      <c r="D10" s="18">
        <v>82.6</v>
      </c>
      <c r="E10" s="60">
        <f t="shared" si="0"/>
        <v>307395.069953364</v>
      </c>
      <c r="F10" s="19" t="s">
        <v>8</v>
      </c>
      <c r="G10" s="62"/>
    </row>
    <row r="11" customHeight="1" spans="1:7">
      <c r="A11" s="10">
        <v>42248</v>
      </c>
      <c r="B11" s="38">
        <v>456.9</v>
      </c>
      <c r="C11" s="59">
        <v>1486</v>
      </c>
      <c r="D11" s="13">
        <v>81.8</v>
      </c>
      <c r="E11" s="60">
        <f t="shared" si="0"/>
        <v>307469.717362046</v>
      </c>
      <c r="F11" s="14" t="s">
        <v>8</v>
      </c>
      <c r="G11" s="62"/>
    </row>
    <row r="12" customHeight="1" spans="1:7">
      <c r="A12" s="15">
        <v>42278</v>
      </c>
      <c r="B12" s="41">
        <v>452.4</v>
      </c>
      <c r="C12" s="63">
        <v>1471</v>
      </c>
      <c r="D12" s="18">
        <v>81</v>
      </c>
      <c r="E12" s="60">
        <f t="shared" si="0"/>
        <v>307545.887151598</v>
      </c>
      <c r="F12" s="19" t="s">
        <v>8</v>
      </c>
      <c r="G12" s="62"/>
    </row>
    <row r="13" customHeight="1" spans="1:7">
      <c r="A13" s="10">
        <v>42309</v>
      </c>
      <c r="B13" s="38">
        <v>452.4</v>
      </c>
      <c r="C13" s="59">
        <v>1471</v>
      </c>
      <c r="D13" s="13">
        <v>81</v>
      </c>
      <c r="E13" s="60">
        <f t="shared" si="0"/>
        <v>307545.887151598</v>
      </c>
      <c r="F13" s="14" t="s">
        <v>8</v>
      </c>
      <c r="G13" s="62"/>
    </row>
    <row r="14" customHeight="1" spans="1:7">
      <c r="A14" s="15">
        <v>42339</v>
      </c>
      <c r="B14" s="41">
        <v>452.3</v>
      </c>
      <c r="C14" s="63">
        <v>1473</v>
      </c>
      <c r="D14" s="18">
        <v>80.6</v>
      </c>
      <c r="E14" s="60">
        <f t="shared" si="0"/>
        <v>307060.420909708</v>
      </c>
      <c r="F14" s="19" t="s">
        <v>8</v>
      </c>
      <c r="G14" s="64">
        <f>AVERAGE(B3:B14)</f>
        <v>447.916666666667</v>
      </c>
    </row>
    <row r="15" customHeight="1" spans="1:7">
      <c r="A15" s="10">
        <v>42370</v>
      </c>
      <c r="B15" s="38">
        <v>416.2</v>
      </c>
      <c r="C15" s="59">
        <v>1422</v>
      </c>
      <c r="D15" s="13">
        <v>79</v>
      </c>
      <c r="E15" s="60">
        <f t="shared" si="0"/>
        <v>292686.357243319</v>
      </c>
      <c r="F15" s="14" t="s">
        <v>8</v>
      </c>
      <c r="G15" s="64">
        <f>AVERAGE(B4:B15)</f>
        <v>444.525</v>
      </c>
    </row>
    <row r="16" customHeight="1" spans="1:7">
      <c r="A16" s="15">
        <v>42401</v>
      </c>
      <c r="B16" s="41">
        <v>395.8</v>
      </c>
      <c r="C16" s="63">
        <v>1352</v>
      </c>
      <c r="D16" s="18">
        <v>75.2</v>
      </c>
      <c r="E16" s="60">
        <f t="shared" si="0"/>
        <v>292751.479289941</v>
      </c>
      <c r="F16" s="19" t="s">
        <v>8</v>
      </c>
      <c r="G16" s="64">
        <f t="shared" ref="G16:G79" si="1">AVERAGE(B5:B16)</f>
        <v>441.3</v>
      </c>
    </row>
    <row r="17" customHeight="1" spans="1:7">
      <c r="A17" s="10">
        <v>42430</v>
      </c>
      <c r="B17" s="38">
        <v>387.7</v>
      </c>
      <c r="C17" s="59">
        <v>1324</v>
      </c>
      <c r="D17" s="13">
        <v>73.6</v>
      </c>
      <c r="E17" s="60">
        <f t="shared" si="0"/>
        <v>292824.773413897</v>
      </c>
      <c r="F17" s="14" t="s">
        <v>8</v>
      </c>
      <c r="G17" s="64">
        <f t="shared" si="1"/>
        <v>438.15</v>
      </c>
    </row>
    <row r="18" customHeight="1" spans="1:7">
      <c r="A18" s="15">
        <v>42461</v>
      </c>
      <c r="B18" s="41">
        <v>391.8</v>
      </c>
      <c r="C18" s="63">
        <v>1338</v>
      </c>
      <c r="D18" s="18">
        <v>74.4</v>
      </c>
      <c r="E18" s="60">
        <f t="shared" si="0"/>
        <v>292825.112107623</v>
      </c>
      <c r="F18" s="19" t="s">
        <v>8</v>
      </c>
      <c r="G18" s="64">
        <f t="shared" si="1"/>
        <v>434.966666666667</v>
      </c>
    </row>
    <row r="19" customHeight="1" spans="1:7">
      <c r="A19" s="10">
        <v>42491</v>
      </c>
      <c r="B19" s="38">
        <v>404</v>
      </c>
      <c r="C19" s="59">
        <v>1380</v>
      </c>
      <c r="D19" s="13">
        <v>76.7</v>
      </c>
      <c r="E19" s="60">
        <f t="shared" si="0"/>
        <v>292753.623188406</v>
      </c>
      <c r="F19" s="14" t="s">
        <v>8</v>
      </c>
      <c r="G19" s="64">
        <f t="shared" si="1"/>
        <v>431.683333333333</v>
      </c>
    </row>
    <row r="20" customHeight="1" spans="1:7">
      <c r="A20" s="15">
        <v>42522</v>
      </c>
      <c r="B20" s="41">
        <v>412.2</v>
      </c>
      <c r="C20" s="63">
        <v>1408</v>
      </c>
      <c r="D20" s="18">
        <v>78.3</v>
      </c>
      <c r="E20" s="60">
        <f t="shared" si="0"/>
        <v>292755.681818182</v>
      </c>
      <c r="F20" s="19" t="s">
        <v>8</v>
      </c>
      <c r="G20" s="64">
        <f t="shared" si="1"/>
        <v>428.333333333333</v>
      </c>
    </row>
    <row r="21" customHeight="1" spans="1:7">
      <c r="A21" s="10">
        <v>42552</v>
      </c>
      <c r="B21" s="38">
        <v>416.2</v>
      </c>
      <c r="C21" s="59">
        <v>1422</v>
      </c>
      <c r="D21" s="13">
        <v>79</v>
      </c>
      <c r="E21" s="60">
        <f t="shared" si="0"/>
        <v>292686.357243319</v>
      </c>
      <c r="F21" s="14" t="s">
        <v>8</v>
      </c>
      <c r="G21" s="64">
        <f t="shared" si="1"/>
        <v>424.941666666667</v>
      </c>
    </row>
    <row r="22" customHeight="1" spans="1:7">
      <c r="A22" s="15">
        <v>42583</v>
      </c>
      <c r="B22" s="41">
        <v>420.3</v>
      </c>
      <c r="C22" s="63">
        <v>1435</v>
      </c>
      <c r="D22" s="18">
        <v>79.8</v>
      </c>
      <c r="E22" s="60">
        <f t="shared" si="0"/>
        <v>292891.986062718</v>
      </c>
      <c r="F22" s="19" t="s">
        <v>8</v>
      </c>
      <c r="G22" s="64">
        <f t="shared" si="1"/>
        <v>421.516666666667</v>
      </c>
    </row>
    <row r="23" customHeight="1" spans="1:7">
      <c r="A23" s="10">
        <v>42614</v>
      </c>
      <c r="B23" s="38">
        <v>416.2</v>
      </c>
      <c r="C23" s="59">
        <v>1422</v>
      </c>
      <c r="D23" s="13">
        <v>79</v>
      </c>
      <c r="E23" s="60">
        <f t="shared" si="0"/>
        <v>292686.357243319</v>
      </c>
      <c r="F23" s="14" t="s">
        <v>8</v>
      </c>
      <c r="G23" s="64">
        <f t="shared" si="1"/>
        <v>418.125</v>
      </c>
    </row>
    <row r="24" customHeight="1" spans="1:7">
      <c r="A24" s="15">
        <v>42644</v>
      </c>
      <c r="B24" s="41">
        <v>412.2</v>
      </c>
      <c r="C24" s="63">
        <v>1408</v>
      </c>
      <c r="D24" s="18">
        <v>78.3</v>
      </c>
      <c r="E24" s="60">
        <f t="shared" si="0"/>
        <v>292755.681818182</v>
      </c>
      <c r="F24" s="19" t="s">
        <v>8</v>
      </c>
      <c r="G24" s="64">
        <f t="shared" si="1"/>
        <v>414.775</v>
      </c>
    </row>
    <row r="25" customHeight="1" spans="1:7">
      <c r="A25" s="10">
        <v>42675</v>
      </c>
      <c r="B25" s="38">
        <v>412.2</v>
      </c>
      <c r="C25" s="59">
        <v>1408</v>
      </c>
      <c r="D25" s="13">
        <v>78.3</v>
      </c>
      <c r="E25" s="60">
        <f t="shared" si="0"/>
        <v>292755.681818182</v>
      </c>
      <c r="F25" s="14" t="s">
        <v>8</v>
      </c>
      <c r="G25" s="64">
        <f t="shared" si="1"/>
        <v>411.425</v>
      </c>
    </row>
    <row r="26" customHeight="1" spans="1:7">
      <c r="A26" s="15">
        <v>42705</v>
      </c>
      <c r="B26" s="41">
        <v>412.2</v>
      </c>
      <c r="C26" s="63">
        <v>1405</v>
      </c>
      <c r="D26" s="18">
        <v>78.4</v>
      </c>
      <c r="E26" s="60">
        <f t="shared" si="0"/>
        <v>293380.782918149</v>
      </c>
      <c r="F26" s="19" t="s">
        <v>8</v>
      </c>
      <c r="G26" s="64">
        <f t="shared" si="1"/>
        <v>408.083333333333</v>
      </c>
    </row>
    <row r="27" customHeight="1" spans="1:7">
      <c r="A27" s="10">
        <v>42736</v>
      </c>
      <c r="B27" s="38">
        <v>427.2</v>
      </c>
      <c r="C27" s="59">
        <v>1492</v>
      </c>
      <c r="D27" s="13">
        <v>85.4</v>
      </c>
      <c r="E27" s="60">
        <f t="shared" si="0"/>
        <v>286327.077747989</v>
      </c>
      <c r="F27" s="14" t="s">
        <v>8</v>
      </c>
      <c r="G27" s="64">
        <f t="shared" si="1"/>
        <v>409</v>
      </c>
    </row>
    <row r="28" customHeight="1" spans="1:7">
      <c r="A28" s="15">
        <v>42767</v>
      </c>
      <c r="B28" s="41">
        <v>406.3</v>
      </c>
      <c r="C28" s="63">
        <v>1419</v>
      </c>
      <c r="D28" s="18">
        <v>81.2</v>
      </c>
      <c r="E28" s="60">
        <f t="shared" si="0"/>
        <v>286328.400281889</v>
      </c>
      <c r="F28" s="19" t="s">
        <v>8</v>
      </c>
      <c r="G28" s="64">
        <f t="shared" si="1"/>
        <v>409.875</v>
      </c>
    </row>
    <row r="29" customHeight="1" spans="1:7">
      <c r="A29" s="10">
        <v>42795</v>
      </c>
      <c r="B29" s="38">
        <v>397.9</v>
      </c>
      <c r="C29" s="59">
        <v>1389</v>
      </c>
      <c r="D29" s="13">
        <v>79.6</v>
      </c>
      <c r="E29" s="60">
        <f t="shared" si="0"/>
        <v>286465.082793377</v>
      </c>
      <c r="F29" s="14" t="s">
        <v>8</v>
      </c>
      <c r="G29" s="64">
        <f t="shared" si="1"/>
        <v>410.725</v>
      </c>
    </row>
    <row r="30" customHeight="1" spans="1:7">
      <c r="A30" s="15">
        <v>42826</v>
      </c>
      <c r="B30" s="41">
        <v>402.1</v>
      </c>
      <c r="C30" s="63">
        <v>1404</v>
      </c>
      <c r="D30" s="18">
        <v>80.4</v>
      </c>
      <c r="E30" s="60">
        <f t="shared" si="0"/>
        <v>286396.011396011</v>
      </c>
      <c r="F30" s="19" t="s">
        <v>8</v>
      </c>
      <c r="G30" s="64">
        <f t="shared" si="1"/>
        <v>411.583333333333</v>
      </c>
    </row>
    <row r="31" customHeight="1" spans="1:7">
      <c r="A31" s="10">
        <v>42856</v>
      </c>
      <c r="B31" s="38">
        <v>414.6</v>
      </c>
      <c r="C31" s="59">
        <v>1448</v>
      </c>
      <c r="D31" s="13">
        <v>82.9</v>
      </c>
      <c r="E31" s="60">
        <f t="shared" si="0"/>
        <v>286325.966850829</v>
      </c>
      <c r="F31" s="14" t="s">
        <v>8</v>
      </c>
      <c r="G31" s="64">
        <f t="shared" si="1"/>
        <v>412.466666666667</v>
      </c>
    </row>
    <row r="32" customHeight="1" spans="1:7">
      <c r="A32" s="15">
        <v>42887</v>
      </c>
      <c r="B32" s="41">
        <v>423</v>
      </c>
      <c r="C32" s="63">
        <v>1477</v>
      </c>
      <c r="D32" s="18">
        <v>84.6</v>
      </c>
      <c r="E32" s="60">
        <f t="shared" si="0"/>
        <v>286391.333784699</v>
      </c>
      <c r="F32" s="19" t="s">
        <v>8</v>
      </c>
      <c r="G32" s="64">
        <f t="shared" si="1"/>
        <v>413.366666666667</v>
      </c>
    </row>
    <row r="33" customHeight="1" spans="1:7">
      <c r="A33" s="10">
        <v>42917</v>
      </c>
      <c r="B33" s="38">
        <v>427.2</v>
      </c>
      <c r="C33" s="59">
        <v>1492</v>
      </c>
      <c r="D33" s="13">
        <v>85.4</v>
      </c>
      <c r="E33" s="60">
        <f t="shared" si="0"/>
        <v>286327.077747989</v>
      </c>
      <c r="F33" s="14" t="s">
        <v>8</v>
      </c>
      <c r="G33" s="64">
        <f t="shared" si="1"/>
        <v>414.283333333333</v>
      </c>
    </row>
    <row r="34" customHeight="1" spans="1:7">
      <c r="A34" s="15">
        <v>42948</v>
      </c>
      <c r="B34" s="41">
        <v>431.4</v>
      </c>
      <c r="C34" s="63">
        <v>1506</v>
      </c>
      <c r="D34" s="18">
        <v>86.3</v>
      </c>
      <c r="E34" s="60">
        <f t="shared" si="0"/>
        <v>286454.183266932</v>
      </c>
      <c r="F34" s="19" t="s">
        <v>8</v>
      </c>
      <c r="G34" s="64">
        <f t="shared" si="1"/>
        <v>415.208333333333</v>
      </c>
    </row>
    <row r="35" customHeight="1" spans="1:7">
      <c r="A35" s="10">
        <v>42979</v>
      </c>
      <c r="B35" s="38">
        <v>427.2</v>
      </c>
      <c r="C35" s="59">
        <v>1492</v>
      </c>
      <c r="D35" s="13">
        <v>85.4</v>
      </c>
      <c r="E35" s="60">
        <f t="shared" si="0"/>
        <v>286327.077747989</v>
      </c>
      <c r="F35" s="14" t="s">
        <v>8</v>
      </c>
      <c r="G35" s="64">
        <f t="shared" si="1"/>
        <v>416.125</v>
      </c>
    </row>
    <row r="36" customHeight="1" spans="1:7">
      <c r="A36" s="15">
        <v>43009</v>
      </c>
      <c r="B36" s="41">
        <v>423</v>
      </c>
      <c r="C36" s="63">
        <v>1477</v>
      </c>
      <c r="D36" s="18">
        <v>84.6</v>
      </c>
      <c r="E36" s="60">
        <f t="shared" si="0"/>
        <v>286391.333784699</v>
      </c>
      <c r="F36" s="19" t="s">
        <v>8</v>
      </c>
      <c r="G36" s="64">
        <f t="shared" si="1"/>
        <v>417.025</v>
      </c>
    </row>
    <row r="37" customHeight="1" spans="1:7">
      <c r="A37" s="10">
        <v>43040</v>
      </c>
      <c r="B37" s="38">
        <v>423</v>
      </c>
      <c r="C37" s="59">
        <v>1477</v>
      </c>
      <c r="D37" s="13">
        <v>84.6</v>
      </c>
      <c r="E37" s="60">
        <f t="shared" si="0"/>
        <v>286391.333784699</v>
      </c>
      <c r="F37" s="14" t="s">
        <v>8</v>
      </c>
      <c r="G37" s="64">
        <f t="shared" si="1"/>
        <v>417.925</v>
      </c>
    </row>
    <row r="38" customHeight="1" spans="1:7">
      <c r="A38" s="15">
        <v>43070</v>
      </c>
      <c r="B38" s="41">
        <v>423.1</v>
      </c>
      <c r="C38" s="63">
        <v>1477</v>
      </c>
      <c r="D38" s="18">
        <v>84.6</v>
      </c>
      <c r="E38" s="60">
        <f t="shared" si="0"/>
        <v>286459.03859174</v>
      </c>
      <c r="F38" s="19" t="s">
        <v>8</v>
      </c>
      <c r="G38" s="64">
        <f t="shared" si="1"/>
        <v>418.833333333333</v>
      </c>
    </row>
    <row r="39" customHeight="1" spans="1:7">
      <c r="A39" s="10">
        <v>43101</v>
      </c>
      <c r="B39" s="38">
        <v>474.7</v>
      </c>
      <c r="C39" s="59">
        <v>1545</v>
      </c>
      <c r="D39" s="13">
        <v>91.5</v>
      </c>
      <c r="E39" s="60">
        <f t="shared" si="0"/>
        <v>307249.190938511</v>
      </c>
      <c r="F39" s="14" t="s">
        <v>8</v>
      </c>
      <c r="G39" s="64">
        <f t="shared" si="1"/>
        <v>422.791666666667</v>
      </c>
    </row>
    <row r="40" customHeight="1" spans="1:7">
      <c r="A40" s="15">
        <v>43132</v>
      </c>
      <c r="B40" s="41">
        <v>451.5</v>
      </c>
      <c r="C40" s="63">
        <v>1469</v>
      </c>
      <c r="D40" s="18">
        <v>87</v>
      </c>
      <c r="E40" s="60">
        <f t="shared" si="0"/>
        <v>307351.940095303</v>
      </c>
      <c r="F40" s="19" t="s">
        <v>8</v>
      </c>
      <c r="G40" s="64">
        <f t="shared" si="1"/>
        <v>426.558333333333</v>
      </c>
    </row>
    <row r="41" customHeight="1" spans="1:7">
      <c r="A41" s="10">
        <v>43160</v>
      </c>
      <c r="B41" s="38">
        <v>442.1</v>
      </c>
      <c r="C41" s="59">
        <v>1439</v>
      </c>
      <c r="D41" s="13">
        <v>85.2</v>
      </c>
      <c r="E41" s="60">
        <f t="shared" si="0"/>
        <v>307227.24113968</v>
      </c>
      <c r="F41" s="14" t="s">
        <v>8</v>
      </c>
      <c r="G41" s="64">
        <f t="shared" si="1"/>
        <v>430.241666666667</v>
      </c>
    </row>
    <row r="42" customHeight="1" spans="1:7">
      <c r="A42" s="15">
        <v>43191</v>
      </c>
      <c r="B42" s="41">
        <v>446.8</v>
      </c>
      <c r="C42" s="63">
        <v>1454</v>
      </c>
      <c r="D42" s="18">
        <v>86.1</v>
      </c>
      <c r="E42" s="60">
        <f t="shared" si="0"/>
        <v>307290.233837689</v>
      </c>
      <c r="F42" s="19" t="s">
        <v>8</v>
      </c>
      <c r="G42" s="64">
        <f t="shared" si="1"/>
        <v>433.966666666667</v>
      </c>
    </row>
    <row r="43" customHeight="1" spans="1:7">
      <c r="A43" s="10">
        <v>43221</v>
      </c>
      <c r="B43" s="38">
        <v>460.8</v>
      </c>
      <c r="C43" s="59">
        <v>1499</v>
      </c>
      <c r="D43" s="13">
        <v>88.8</v>
      </c>
      <c r="E43" s="60">
        <f t="shared" si="0"/>
        <v>307404.936624416</v>
      </c>
      <c r="F43" s="14" t="s">
        <v>8</v>
      </c>
      <c r="G43" s="64">
        <f t="shared" si="1"/>
        <v>437.816666666667</v>
      </c>
    </row>
    <row r="44" customHeight="1" spans="1:7">
      <c r="A44" s="15">
        <v>43252</v>
      </c>
      <c r="B44" s="41">
        <v>470.1</v>
      </c>
      <c r="C44" s="63">
        <v>1530</v>
      </c>
      <c r="D44" s="18">
        <v>90.6</v>
      </c>
      <c r="E44" s="60">
        <f t="shared" si="0"/>
        <v>307254.901960784</v>
      </c>
      <c r="F44" s="19" t="s">
        <v>8</v>
      </c>
      <c r="G44" s="64">
        <f t="shared" si="1"/>
        <v>441.741666666667</v>
      </c>
    </row>
    <row r="45" customHeight="1" spans="1:7">
      <c r="A45" s="10">
        <v>43282</v>
      </c>
      <c r="B45" s="38">
        <v>474.7</v>
      </c>
      <c r="C45" s="59">
        <v>1545</v>
      </c>
      <c r="D45" s="13">
        <v>91.5</v>
      </c>
      <c r="E45" s="60">
        <f t="shared" si="0"/>
        <v>307249.190938511</v>
      </c>
      <c r="F45" s="14" t="s">
        <v>8</v>
      </c>
      <c r="G45" s="64">
        <f t="shared" si="1"/>
        <v>445.7</v>
      </c>
    </row>
    <row r="46" customHeight="1" spans="1:7">
      <c r="A46" s="15">
        <v>43313</v>
      </c>
      <c r="B46" s="41">
        <v>479.4</v>
      </c>
      <c r="C46" s="63">
        <v>1560</v>
      </c>
      <c r="D46" s="18">
        <v>92.4</v>
      </c>
      <c r="E46" s="60">
        <f t="shared" si="0"/>
        <v>307307.692307692</v>
      </c>
      <c r="F46" s="19" t="s">
        <v>8</v>
      </c>
      <c r="G46" s="64">
        <f t="shared" si="1"/>
        <v>449.7</v>
      </c>
    </row>
    <row r="47" customHeight="1" spans="1:7">
      <c r="A47" s="10">
        <v>43344</v>
      </c>
      <c r="B47" s="38">
        <v>474.7</v>
      </c>
      <c r="C47" s="59">
        <v>1545</v>
      </c>
      <c r="D47" s="13">
        <v>91.5</v>
      </c>
      <c r="E47" s="60">
        <f t="shared" si="0"/>
        <v>307249.190938511</v>
      </c>
      <c r="F47" s="14" t="s">
        <v>8</v>
      </c>
      <c r="G47" s="64">
        <f t="shared" si="1"/>
        <v>453.658333333333</v>
      </c>
    </row>
    <row r="48" customHeight="1" spans="1:7">
      <c r="A48" s="15">
        <v>43374</v>
      </c>
      <c r="B48" s="41">
        <v>470.1</v>
      </c>
      <c r="C48" s="63">
        <v>1530</v>
      </c>
      <c r="D48" s="18">
        <v>90.6</v>
      </c>
      <c r="E48" s="60">
        <f t="shared" si="0"/>
        <v>307254.901960784</v>
      </c>
      <c r="F48" s="19" t="s">
        <v>8</v>
      </c>
      <c r="G48" s="64">
        <f t="shared" si="1"/>
        <v>457.583333333333</v>
      </c>
    </row>
    <row r="49" customHeight="1" spans="1:7">
      <c r="A49" s="10">
        <v>43405</v>
      </c>
      <c r="B49" s="38">
        <v>470.1</v>
      </c>
      <c r="C49" s="59">
        <v>1530</v>
      </c>
      <c r="D49" s="13">
        <v>90.6</v>
      </c>
      <c r="E49" s="60">
        <f t="shared" si="0"/>
        <v>307254.901960784</v>
      </c>
      <c r="F49" s="14" t="s">
        <v>8</v>
      </c>
      <c r="G49" s="64">
        <f t="shared" si="1"/>
        <v>461.508333333333</v>
      </c>
    </row>
    <row r="50" customHeight="1" spans="1:7">
      <c r="A50" s="15">
        <v>43435</v>
      </c>
      <c r="B50" s="41">
        <v>470</v>
      </c>
      <c r="C50" s="63">
        <v>1528</v>
      </c>
      <c r="D50" s="18">
        <v>90.2</v>
      </c>
      <c r="E50" s="60">
        <f t="shared" si="0"/>
        <v>307591.623036649</v>
      </c>
      <c r="F50" s="19" t="s">
        <v>8</v>
      </c>
      <c r="G50" s="64">
        <f t="shared" si="1"/>
        <v>465.416666666667</v>
      </c>
    </row>
    <row r="51" customHeight="1" spans="1:7">
      <c r="A51" s="10">
        <v>43466</v>
      </c>
      <c r="B51" s="38">
        <v>493.3</v>
      </c>
      <c r="C51" s="59">
        <v>1605</v>
      </c>
      <c r="D51" s="13">
        <v>102.6</v>
      </c>
      <c r="E51" s="60">
        <f t="shared" si="0"/>
        <v>307352.024922118</v>
      </c>
      <c r="F51" s="14" t="s">
        <v>8</v>
      </c>
      <c r="G51" s="64">
        <f t="shared" si="1"/>
        <v>466.966666666667</v>
      </c>
    </row>
    <row r="52" customHeight="1" spans="1:7">
      <c r="A52" s="15">
        <v>43497</v>
      </c>
      <c r="B52" s="41">
        <v>469.2</v>
      </c>
      <c r="C52" s="63">
        <v>1526</v>
      </c>
      <c r="D52" s="18">
        <v>97.6</v>
      </c>
      <c r="E52" s="60">
        <f t="shared" si="0"/>
        <v>307470.511140236</v>
      </c>
      <c r="F52" s="19" t="s">
        <v>8</v>
      </c>
      <c r="G52" s="64">
        <f t="shared" si="1"/>
        <v>468.441666666667</v>
      </c>
    </row>
    <row r="53" customHeight="1" spans="1:7">
      <c r="A53" s="65">
        <v>43525</v>
      </c>
      <c r="B53" s="38">
        <v>459.5</v>
      </c>
      <c r="C53" s="59">
        <v>1495</v>
      </c>
      <c r="D53" s="13">
        <v>95.6</v>
      </c>
      <c r="E53" s="60">
        <f t="shared" si="0"/>
        <v>307357.859531773</v>
      </c>
      <c r="F53" s="14" t="s">
        <v>8</v>
      </c>
      <c r="G53" s="64">
        <f t="shared" si="1"/>
        <v>469.891666666667</v>
      </c>
    </row>
    <row r="54" customHeight="1" spans="1:7">
      <c r="A54" s="15">
        <v>43556</v>
      </c>
      <c r="B54" s="41">
        <v>464.3</v>
      </c>
      <c r="C54" s="63">
        <v>1510</v>
      </c>
      <c r="D54" s="18">
        <v>96.6</v>
      </c>
      <c r="E54" s="60">
        <f t="shared" si="0"/>
        <v>307483.443708609</v>
      </c>
      <c r="F54" s="19" t="s">
        <v>8</v>
      </c>
      <c r="G54" s="64">
        <f t="shared" si="1"/>
        <v>471.35</v>
      </c>
    </row>
    <row r="55" customHeight="1" spans="1:7">
      <c r="A55" s="10">
        <v>43586</v>
      </c>
      <c r="B55" s="38">
        <v>478.8</v>
      </c>
      <c r="C55" s="59">
        <v>1558</v>
      </c>
      <c r="D55" s="13">
        <v>99.6</v>
      </c>
      <c r="E55" s="60">
        <f t="shared" si="0"/>
        <v>307317.073170732</v>
      </c>
      <c r="F55" s="14" t="s">
        <v>8</v>
      </c>
      <c r="G55" s="64">
        <f t="shared" si="1"/>
        <v>472.85</v>
      </c>
    </row>
    <row r="56" customHeight="1" spans="1:7">
      <c r="A56" s="15">
        <v>43617</v>
      </c>
      <c r="B56" s="41">
        <v>488.5</v>
      </c>
      <c r="C56" s="63">
        <v>1589</v>
      </c>
      <c r="D56" s="18">
        <v>101.6</v>
      </c>
      <c r="E56" s="60">
        <f t="shared" si="0"/>
        <v>307426.054122089</v>
      </c>
      <c r="F56" s="19" t="s">
        <v>8</v>
      </c>
      <c r="G56" s="64">
        <f t="shared" si="1"/>
        <v>474.383333333333</v>
      </c>
    </row>
    <row r="57" customHeight="1" spans="1:7">
      <c r="A57" s="10">
        <v>43647</v>
      </c>
      <c r="B57" s="38">
        <v>493.3</v>
      </c>
      <c r="C57" s="59">
        <v>1605</v>
      </c>
      <c r="D57" s="13">
        <v>102.6</v>
      </c>
      <c r="E57" s="60">
        <f t="shared" si="0"/>
        <v>307352.024922118</v>
      </c>
      <c r="F57" s="14" t="s">
        <v>8</v>
      </c>
      <c r="G57" s="64">
        <f t="shared" si="1"/>
        <v>475.933333333333</v>
      </c>
    </row>
    <row r="58" customHeight="1" spans="1:7">
      <c r="A58" s="15">
        <v>43678</v>
      </c>
      <c r="B58" s="41">
        <v>498.2</v>
      </c>
      <c r="C58" s="63">
        <v>1621</v>
      </c>
      <c r="D58" s="18">
        <v>103.6</v>
      </c>
      <c r="E58" s="60">
        <f t="shared" si="0"/>
        <v>307341.147439852</v>
      </c>
      <c r="F58" s="19" t="s">
        <v>8</v>
      </c>
      <c r="G58" s="64">
        <f t="shared" si="1"/>
        <v>477.5</v>
      </c>
    </row>
    <row r="59" customHeight="1" spans="1:7">
      <c r="A59" s="10">
        <v>43709</v>
      </c>
      <c r="B59" s="38">
        <v>493.3</v>
      </c>
      <c r="C59" s="59">
        <v>1605</v>
      </c>
      <c r="D59" s="13">
        <v>102.6</v>
      </c>
      <c r="E59" s="60">
        <f t="shared" si="0"/>
        <v>307352.024922118</v>
      </c>
      <c r="F59" s="14" t="s">
        <v>8</v>
      </c>
      <c r="G59" s="64">
        <f t="shared" si="1"/>
        <v>479.05</v>
      </c>
    </row>
    <row r="60" customHeight="1" spans="1:7">
      <c r="A60" s="15">
        <v>43739</v>
      </c>
      <c r="B60" s="41">
        <v>488.5</v>
      </c>
      <c r="C60" s="63">
        <v>1589</v>
      </c>
      <c r="D60" s="18">
        <v>101.6</v>
      </c>
      <c r="E60" s="60">
        <f t="shared" si="0"/>
        <v>307426.054122089</v>
      </c>
      <c r="F60" s="19" t="s">
        <v>8</v>
      </c>
      <c r="G60" s="64">
        <f t="shared" si="1"/>
        <v>480.583333333333</v>
      </c>
    </row>
    <row r="61" customHeight="1" spans="1:7">
      <c r="A61" s="10">
        <v>43770</v>
      </c>
      <c r="B61" s="38">
        <v>488.5</v>
      </c>
      <c r="C61" s="59">
        <v>1589</v>
      </c>
      <c r="D61" s="13">
        <v>101.6</v>
      </c>
      <c r="E61" s="60">
        <f t="shared" si="0"/>
        <v>307426.054122089</v>
      </c>
      <c r="F61" s="14" t="s">
        <v>8</v>
      </c>
      <c r="G61" s="64">
        <f t="shared" si="1"/>
        <v>482.116666666667</v>
      </c>
    </row>
    <row r="62" customHeight="1" spans="1:7">
      <c r="A62" s="15">
        <v>43800</v>
      </c>
      <c r="B62" s="41">
        <v>488.6</v>
      </c>
      <c r="C62" s="63">
        <v>1588</v>
      </c>
      <c r="D62" s="18">
        <v>101.4</v>
      </c>
      <c r="E62" s="60">
        <f t="shared" si="0"/>
        <v>307682.619647355</v>
      </c>
      <c r="F62" s="19" t="s">
        <v>8</v>
      </c>
      <c r="G62" s="64">
        <f t="shared" si="1"/>
        <v>483.666666666667</v>
      </c>
    </row>
    <row r="63" customHeight="1" spans="1:7">
      <c r="A63" s="10">
        <v>43831</v>
      </c>
      <c r="B63" s="38">
        <v>476.5</v>
      </c>
      <c r="C63" s="59">
        <v>1601</v>
      </c>
      <c r="D63" s="13">
        <v>99.4</v>
      </c>
      <c r="E63" s="60">
        <f t="shared" si="0"/>
        <v>297626.483447845</v>
      </c>
      <c r="F63" s="14" t="s">
        <v>8</v>
      </c>
      <c r="G63" s="64">
        <f t="shared" si="1"/>
        <v>482.266666666667</v>
      </c>
    </row>
    <row r="64" customHeight="1" spans="1:7">
      <c r="A64" s="15">
        <v>43862</v>
      </c>
      <c r="B64" s="41">
        <v>453.2</v>
      </c>
      <c r="C64" s="63">
        <v>1522</v>
      </c>
      <c r="D64" s="18">
        <v>94.5</v>
      </c>
      <c r="E64" s="60">
        <f t="shared" si="0"/>
        <v>297766.097240473</v>
      </c>
      <c r="F64" s="19" t="s">
        <v>8</v>
      </c>
      <c r="G64" s="64">
        <f t="shared" si="1"/>
        <v>480.933333333333</v>
      </c>
    </row>
    <row r="65" customHeight="1" spans="1:9">
      <c r="A65" s="65">
        <v>43891</v>
      </c>
      <c r="B65" s="38">
        <v>443.8</v>
      </c>
      <c r="C65" s="59">
        <v>1491</v>
      </c>
      <c r="D65" s="13">
        <v>92.5</v>
      </c>
      <c r="E65" s="60">
        <f t="shared" si="0"/>
        <v>297652.582159624</v>
      </c>
      <c r="F65" s="14" t="s">
        <v>8</v>
      </c>
      <c r="G65" s="64">
        <f t="shared" si="1"/>
        <v>479.625</v>
      </c>
    </row>
    <row r="66" customHeight="1" spans="1:9">
      <c r="A66" s="15">
        <v>43922</v>
      </c>
      <c r="B66" s="41">
        <v>448.5</v>
      </c>
      <c r="C66" s="63">
        <v>1506</v>
      </c>
      <c r="D66" s="18">
        <v>93.5</v>
      </c>
      <c r="E66" s="60">
        <f t="shared" si="0"/>
        <v>297808.764940239</v>
      </c>
      <c r="F66" s="19" t="s">
        <v>8</v>
      </c>
      <c r="G66" s="64">
        <f t="shared" si="1"/>
        <v>478.308333333333</v>
      </c>
    </row>
    <row r="67" customHeight="1" spans="1:9">
      <c r="A67" s="10">
        <v>43952</v>
      </c>
      <c r="B67" s="38">
        <v>462.5</v>
      </c>
      <c r="C67" s="59">
        <v>1553</v>
      </c>
      <c r="D67" s="13">
        <v>96.4</v>
      </c>
      <c r="E67" s="60">
        <f t="shared" si="0"/>
        <v>297810.688989053</v>
      </c>
      <c r="F67" s="14" t="s">
        <v>8</v>
      </c>
      <c r="G67" s="64">
        <f t="shared" si="1"/>
        <v>476.95</v>
      </c>
      <c r="I67" s="66"/>
    </row>
    <row r="68" customHeight="1" spans="1:9">
      <c r="A68" s="15">
        <v>43983</v>
      </c>
      <c r="B68" s="41">
        <v>471.8</v>
      </c>
      <c r="C68" s="63">
        <v>1585</v>
      </c>
      <c r="D68" s="18">
        <v>98.4</v>
      </c>
      <c r="E68" s="60">
        <f t="shared" ref="E68:E122" si="2">(B68*1000000)/C68</f>
        <v>297665.615141956</v>
      </c>
      <c r="F68" s="19" t="s">
        <v>8</v>
      </c>
      <c r="G68" s="64">
        <f t="shared" si="1"/>
        <v>475.558333333333</v>
      </c>
    </row>
    <row r="69" customHeight="1" spans="1:9">
      <c r="A69" s="10">
        <v>44013</v>
      </c>
      <c r="B69" s="38">
        <v>476.5</v>
      </c>
      <c r="C69" s="59">
        <v>1601</v>
      </c>
      <c r="D69" s="13">
        <v>99.4</v>
      </c>
      <c r="E69" s="60">
        <f t="shared" si="2"/>
        <v>297626.483447845</v>
      </c>
      <c r="F69" s="14" t="s">
        <v>8</v>
      </c>
      <c r="G69" s="64">
        <f t="shared" si="1"/>
        <v>474.158333333333</v>
      </c>
    </row>
    <row r="70" customHeight="1" spans="1:9">
      <c r="A70" s="15">
        <v>44044</v>
      </c>
      <c r="B70" s="41">
        <v>481.2</v>
      </c>
      <c r="C70" s="63">
        <v>1616</v>
      </c>
      <c r="D70" s="18">
        <v>100.3</v>
      </c>
      <c r="E70" s="60">
        <f t="shared" si="2"/>
        <v>297772.277227723</v>
      </c>
      <c r="F70" s="19" t="s">
        <v>8</v>
      </c>
      <c r="G70" s="64">
        <f t="shared" si="1"/>
        <v>472.741666666667</v>
      </c>
    </row>
    <row r="71" customHeight="1" spans="1:9">
      <c r="A71" s="10">
        <v>44075</v>
      </c>
      <c r="B71" s="38">
        <v>476.5</v>
      </c>
      <c r="C71" s="59">
        <v>1601</v>
      </c>
      <c r="D71" s="13">
        <v>99.4</v>
      </c>
      <c r="E71" s="60">
        <f t="shared" si="2"/>
        <v>297626.483447845</v>
      </c>
      <c r="F71" s="14" t="s">
        <v>8</v>
      </c>
      <c r="G71" s="64">
        <f t="shared" si="1"/>
        <v>471.341666666667</v>
      </c>
    </row>
    <row r="72" customHeight="1" spans="1:9">
      <c r="A72" s="15">
        <v>44105</v>
      </c>
      <c r="B72" s="41">
        <v>471.8</v>
      </c>
      <c r="C72" s="63">
        <v>1585</v>
      </c>
      <c r="D72" s="18">
        <v>98.4</v>
      </c>
      <c r="E72" s="60">
        <f t="shared" si="2"/>
        <v>297665.615141956</v>
      </c>
      <c r="F72" s="19" t="s">
        <v>8</v>
      </c>
      <c r="G72" s="64">
        <f t="shared" si="1"/>
        <v>469.95</v>
      </c>
    </row>
    <row r="73" customHeight="1" spans="1:9">
      <c r="A73" s="10">
        <v>44136</v>
      </c>
      <c r="B73" s="38">
        <v>471.8</v>
      </c>
      <c r="C73" s="59">
        <v>1585</v>
      </c>
      <c r="D73" s="13">
        <v>98.4</v>
      </c>
      <c r="E73" s="60">
        <f t="shared" si="2"/>
        <v>297665.615141956</v>
      </c>
      <c r="F73" s="14" t="s">
        <v>8</v>
      </c>
      <c r="G73" s="64">
        <f t="shared" si="1"/>
        <v>468.558333333333</v>
      </c>
    </row>
    <row r="74" customHeight="1" spans="1:9">
      <c r="A74" s="15">
        <v>44166</v>
      </c>
      <c r="B74" s="41">
        <v>471.9</v>
      </c>
      <c r="C74" s="63">
        <v>1584</v>
      </c>
      <c r="D74" s="18">
        <v>98.4</v>
      </c>
      <c r="E74" s="60">
        <f t="shared" si="2"/>
        <v>297916.666666667</v>
      </c>
      <c r="F74" s="19" t="s">
        <v>8</v>
      </c>
      <c r="G74" s="64">
        <f t="shared" si="1"/>
        <v>467.166666666667</v>
      </c>
    </row>
    <row r="75" customHeight="1" spans="1:9">
      <c r="A75" s="10">
        <v>44197</v>
      </c>
      <c r="B75" s="38">
        <v>530</v>
      </c>
      <c r="C75" s="59">
        <v>1697</v>
      </c>
      <c r="D75" s="13">
        <v>106.7</v>
      </c>
      <c r="E75" s="60">
        <f t="shared" si="2"/>
        <v>312315.851502652</v>
      </c>
      <c r="F75" s="14" t="s">
        <v>9</v>
      </c>
      <c r="G75" s="64">
        <f t="shared" si="1"/>
        <v>471.625</v>
      </c>
    </row>
    <row r="76" customHeight="1" spans="1:9">
      <c r="A76" s="15">
        <v>44228</v>
      </c>
      <c r="B76" s="41">
        <v>504.1</v>
      </c>
      <c r="C76" s="63">
        <v>1614</v>
      </c>
      <c r="D76" s="18">
        <v>101.5</v>
      </c>
      <c r="E76" s="60">
        <f t="shared" si="2"/>
        <v>312329.615861214</v>
      </c>
      <c r="F76" s="19" t="s">
        <v>9</v>
      </c>
      <c r="G76" s="64">
        <f t="shared" si="1"/>
        <v>475.866666666667</v>
      </c>
    </row>
    <row r="77" customHeight="1" spans="1:9">
      <c r="A77" s="67">
        <v>44256</v>
      </c>
      <c r="B77" s="38">
        <v>387.8</v>
      </c>
      <c r="C77" s="59">
        <v>1242</v>
      </c>
      <c r="D77" s="13">
        <v>78.1</v>
      </c>
      <c r="E77" s="60">
        <f t="shared" si="2"/>
        <v>312238.325281804</v>
      </c>
      <c r="F77" s="14" t="s">
        <v>9</v>
      </c>
      <c r="G77" s="64">
        <f t="shared" si="1"/>
        <v>471.2</v>
      </c>
    </row>
    <row r="78" customHeight="1" spans="1:9">
      <c r="A78" s="15">
        <v>44287</v>
      </c>
      <c r="B78" s="41">
        <v>562.3</v>
      </c>
      <c r="C78" s="63">
        <v>1800</v>
      </c>
      <c r="D78" s="18">
        <v>113.2</v>
      </c>
      <c r="E78" s="60">
        <f t="shared" si="2"/>
        <v>312388.888888889</v>
      </c>
      <c r="F78" s="19" t="s">
        <v>9</v>
      </c>
      <c r="G78" s="64">
        <f t="shared" si="1"/>
        <v>480.683333333333</v>
      </c>
    </row>
    <row r="79" customHeight="1" spans="1:9">
      <c r="A79" s="10">
        <v>44317</v>
      </c>
      <c r="B79" s="38">
        <v>555.8</v>
      </c>
      <c r="C79" s="59">
        <v>1780</v>
      </c>
      <c r="D79" s="13">
        <v>111.9</v>
      </c>
      <c r="E79" s="60">
        <f t="shared" si="2"/>
        <v>312247.191011236</v>
      </c>
      <c r="F79" s="14" t="s">
        <v>9</v>
      </c>
      <c r="G79" s="64">
        <f t="shared" si="1"/>
        <v>488.458333333333</v>
      </c>
    </row>
    <row r="80" customHeight="1" spans="1:9">
      <c r="A80" s="15">
        <v>44348</v>
      </c>
      <c r="B80" s="41">
        <v>536.5</v>
      </c>
      <c r="C80" s="63">
        <v>1718</v>
      </c>
      <c r="D80" s="18">
        <v>108</v>
      </c>
      <c r="E80" s="60">
        <f t="shared" si="2"/>
        <v>312281.722933644</v>
      </c>
      <c r="F80" s="19" t="s">
        <v>9</v>
      </c>
      <c r="G80" s="64">
        <f t="shared" ref="G80:G122" si="3">AVERAGE(B69:B80)</f>
        <v>493.85</v>
      </c>
    </row>
    <row r="81" customHeight="1" spans="1:7">
      <c r="A81" s="10">
        <v>44378</v>
      </c>
      <c r="B81" s="38">
        <v>549.4</v>
      </c>
      <c r="C81" s="59">
        <v>1759</v>
      </c>
      <c r="D81" s="13">
        <v>110.6</v>
      </c>
      <c r="E81" s="60">
        <f t="shared" si="2"/>
        <v>312336.554860716</v>
      </c>
      <c r="F81" s="14" t="s">
        <v>9</v>
      </c>
      <c r="G81" s="64">
        <f t="shared" si="3"/>
        <v>499.925</v>
      </c>
    </row>
    <row r="82" customHeight="1" spans="1:7">
      <c r="A82" s="15">
        <v>44409</v>
      </c>
      <c r="B82" s="41">
        <v>555.8</v>
      </c>
      <c r="C82" s="63">
        <v>1780</v>
      </c>
      <c r="D82" s="18">
        <v>111.9</v>
      </c>
      <c r="E82" s="60">
        <f t="shared" si="2"/>
        <v>312247.191011236</v>
      </c>
      <c r="F82" s="19" t="s">
        <v>9</v>
      </c>
      <c r="G82" s="64">
        <f t="shared" si="3"/>
        <v>506.141666666667</v>
      </c>
    </row>
    <row r="83" customHeight="1" spans="1:7">
      <c r="A83" s="10">
        <v>44440</v>
      </c>
      <c r="B83" s="38">
        <v>549.4</v>
      </c>
      <c r="C83" s="59">
        <v>1759</v>
      </c>
      <c r="D83" s="13">
        <v>110.6</v>
      </c>
      <c r="E83" s="60">
        <f t="shared" si="2"/>
        <v>312336.554860716</v>
      </c>
      <c r="F83" s="14" t="s">
        <v>9</v>
      </c>
      <c r="G83" s="64">
        <f t="shared" si="3"/>
        <v>512.216666666667</v>
      </c>
    </row>
    <row r="84" customHeight="1" spans="1:7">
      <c r="A84" s="15">
        <v>44470</v>
      </c>
      <c r="B84" s="41">
        <v>542.9</v>
      </c>
      <c r="C84" s="63">
        <v>1738</v>
      </c>
      <c r="D84" s="18">
        <v>109.3</v>
      </c>
      <c r="E84" s="60">
        <f t="shared" si="2"/>
        <v>312370.540851553</v>
      </c>
      <c r="F84" s="19" t="s">
        <v>9</v>
      </c>
      <c r="G84" s="64">
        <f t="shared" si="3"/>
        <v>518.141666666667</v>
      </c>
    </row>
    <row r="85" customHeight="1" spans="1:7">
      <c r="A85" s="10">
        <v>44501</v>
      </c>
      <c r="B85" s="38">
        <v>536.5</v>
      </c>
      <c r="C85" s="59">
        <v>1718</v>
      </c>
      <c r="D85" s="13">
        <v>108</v>
      </c>
      <c r="E85" s="60">
        <f t="shared" si="2"/>
        <v>312281.722933644</v>
      </c>
      <c r="F85" s="14" t="s">
        <v>9</v>
      </c>
      <c r="G85" s="64">
        <f t="shared" si="3"/>
        <v>523.533333333333</v>
      </c>
    </row>
    <row r="86" customHeight="1" spans="1:7">
      <c r="A86" s="15">
        <v>44531</v>
      </c>
      <c r="B86" s="41">
        <v>523.5</v>
      </c>
      <c r="C86" s="63">
        <v>2089</v>
      </c>
      <c r="D86" s="18">
        <v>105.2</v>
      </c>
      <c r="E86" s="60">
        <f t="shared" si="2"/>
        <v>250598.372426999</v>
      </c>
      <c r="F86" s="19" t="s">
        <v>9</v>
      </c>
      <c r="G86" s="64">
        <f t="shared" si="3"/>
        <v>527.833333333333</v>
      </c>
    </row>
    <row r="87" customHeight="1" spans="1:7">
      <c r="A87" s="10">
        <v>44562</v>
      </c>
      <c r="B87" s="38">
        <v>674.4</v>
      </c>
      <c r="C87" s="59">
        <v>2027</v>
      </c>
      <c r="D87" s="13">
        <v>119.9</v>
      </c>
      <c r="E87" s="60">
        <f t="shared" si="2"/>
        <v>332708.436112482</v>
      </c>
      <c r="F87" s="14" t="s">
        <v>9</v>
      </c>
      <c r="G87" s="64">
        <f t="shared" si="3"/>
        <v>539.866666666667</v>
      </c>
    </row>
    <row r="88" customHeight="1" spans="1:7">
      <c r="A88" s="15">
        <v>44593</v>
      </c>
      <c r="B88" s="41">
        <v>641.3</v>
      </c>
      <c r="C88" s="63">
        <v>1928</v>
      </c>
      <c r="D88" s="18">
        <v>114</v>
      </c>
      <c r="E88" s="60">
        <f t="shared" si="2"/>
        <v>332624.481327801</v>
      </c>
      <c r="F88" s="19" t="s">
        <v>9</v>
      </c>
      <c r="G88" s="64">
        <f t="shared" si="3"/>
        <v>551.3</v>
      </c>
    </row>
    <row r="89" customHeight="1" spans="1:7">
      <c r="A89" s="10">
        <v>44621</v>
      </c>
      <c r="B89" s="38">
        <v>628.1</v>
      </c>
      <c r="C89" s="59">
        <v>1888</v>
      </c>
      <c r="D89" s="13">
        <v>111.6</v>
      </c>
      <c r="E89" s="60">
        <f t="shared" si="2"/>
        <v>332680.084745763</v>
      </c>
      <c r="F89" s="14" t="s">
        <v>9</v>
      </c>
      <c r="G89" s="64">
        <f t="shared" si="3"/>
        <v>571.325</v>
      </c>
    </row>
    <row r="90" customHeight="1" spans="1:7">
      <c r="A90" s="15">
        <v>44652</v>
      </c>
      <c r="B90" s="41">
        <v>634.7</v>
      </c>
      <c r="C90" s="63">
        <v>1908</v>
      </c>
      <c r="D90" s="18">
        <v>112.8</v>
      </c>
      <c r="E90" s="60">
        <f t="shared" si="2"/>
        <v>332651.991614256</v>
      </c>
      <c r="F90" s="19" t="s">
        <v>9</v>
      </c>
      <c r="G90" s="64">
        <f t="shared" si="3"/>
        <v>577.358333333333</v>
      </c>
    </row>
    <row r="91" customHeight="1" spans="1:7">
      <c r="A91" s="10">
        <v>44682</v>
      </c>
      <c r="B91" s="38">
        <v>654.6</v>
      </c>
      <c r="C91" s="59">
        <v>1968</v>
      </c>
      <c r="D91" s="13">
        <v>116.3</v>
      </c>
      <c r="E91" s="60">
        <f t="shared" si="2"/>
        <v>332621.951219512</v>
      </c>
      <c r="F91" s="14" t="s">
        <v>9</v>
      </c>
      <c r="G91" s="64">
        <f t="shared" si="3"/>
        <v>585.591666666667</v>
      </c>
    </row>
    <row r="92" customHeight="1" spans="1:7">
      <c r="A92" s="15">
        <v>44713</v>
      </c>
      <c r="B92" s="41">
        <v>667.8</v>
      </c>
      <c r="C92" s="63">
        <v>2007</v>
      </c>
      <c r="D92" s="18">
        <v>118.7</v>
      </c>
      <c r="E92" s="60">
        <f t="shared" si="2"/>
        <v>332735.426008969</v>
      </c>
      <c r="F92" s="19" t="s">
        <v>9</v>
      </c>
      <c r="G92" s="64">
        <f t="shared" si="3"/>
        <v>596.533333333333</v>
      </c>
    </row>
    <row r="93" customHeight="1" spans="1:7">
      <c r="A93" s="10">
        <v>44743</v>
      </c>
      <c r="B93" s="38">
        <v>674.4</v>
      </c>
      <c r="C93" s="59">
        <v>2027</v>
      </c>
      <c r="D93" s="13">
        <v>119.9</v>
      </c>
      <c r="E93" s="60">
        <f t="shared" si="2"/>
        <v>332708.436112482</v>
      </c>
      <c r="F93" s="14" t="s">
        <v>9</v>
      </c>
      <c r="G93" s="64">
        <f t="shared" si="3"/>
        <v>606.95</v>
      </c>
    </row>
    <row r="94" customHeight="1" spans="1:7">
      <c r="A94" s="15">
        <v>44774</v>
      </c>
      <c r="B94" s="41">
        <v>681</v>
      </c>
      <c r="C94" s="63">
        <v>2047</v>
      </c>
      <c r="D94" s="18">
        <v>121</v>
      </c>
      <c r="E94" s="60">
        <f t="shared" si="2"/>
        <v>332681.973619932</v>
      </c>
      <c r="F94" s="19" t="s">
        <v>9</v>
      </c>
      <c r="G94" s="64">
        <f t="shared" si="3"/>
        <v>617.383333333333</v>
      </c>
    </row>
    <row r="95" customHeight="1" spans="1:7">
      <c r="A95" s="10">
        <v>44805</v>
      </c>
      <c r="B95" s="38">
        <v>674.4</v>
      </c>
      <c r="C95" s="59">
        <v>2027</v>
      </c>
      <c r="D95" s="13">
        <v>119.9</v>
      </c>
      <c r="E95" s="60">
        <f t="shared" si="2"/>
        <v>332708.436112482</v>
      </c>
      <c r="F95" s="14" t="s">
        <v>9</v>
      </c>
      <c r="G95" s="64">
        <f t="shared" si="3"/>
        <v>627.8</v>
      </c>
    </row>
    <row r="96" customHeight="1" spans="1:7">
      <c r="A96" s="15">
        <v>44835</v>
      </c>
      <c r="B96" s="41">
        <v>667.8</v>
      </c>
      <c r="C96" s="63">
        <v>2007</v>
      </c>
      <c r="D96" s="18">
        <v>118.7</v>
      </c>
      <c r="E96" s="60">
        <f t="shared" si="2"/>
        <v>332735.426008969</v>
      </c>
      <c r="F96" s="19" t="s">
        <v>9</v>
      </c>
      <c r="G96" s="64">
        <f t="shared" si="3"/>
        <v>638.208333333333</v>
      </c>
    </row>
    <row r="97" customHeight="1" spans="1:7">
      <c r="A97" s="10">
        <v>44866</v>
      </c>
      <c r="B97" s="38">
        <v>667.8</v>
      </c>
      <c r="C97" s="59">
        <v>2007</v>
      </c>
      <c r="D97" s="13">
        <v>118.7</v>
      </c>
      <c r="E97" s="60">
        <f t="shared" si="2"/>
        <v>332735.426008969</v>
      </c>
      <c r="F97" s="14" t="s">
        <v>9</v>
      </c>
      <c r="G97" s="64">
        <f t="shared" si="3"/>
        <v>649.15</v>
      </c>
    </row>
    <row r="98" customHeight="1" spans="1:7">
      <c r="A98" s="15">
        <v>44896</v>
      </c>
      <c r="B98" s="41">
        <v>667.7</v>
      </c>
      <c r="C98" s="63">
        <v>2010</v>
      </c>
      <c r="D98" s="18">
        <v>118.5</v>
      </c>
      <c r="E98" s="60">
        <f t="shared" si="2"/>
        <v>332189.054726368</v>
      </c>
      <c r="F98" s="19" t="s">
        <v>9</v>
      </c>
      <c r="G98" s="64">
        <f t="shared" si="3"/>
        <v>661.166666666667</v>
      </c>
    </row>
    <row r="99" customHeight="1" spans="1:7">
      <c r="A99" s="68">
        <v>44927</v>
      </c>
      <c r="B99" s="38">
        <v>871.2</v>
      </c>
      <c r="C99" s="59">
        <v>2247</v>
      </c>
      <c r="D99" s="13">
        <v>133.3</v>
      </c>
      <c r="E99" s="60">
        <f t="shared" si="2"/>
        <v>387716.955941255</v>
      </c>
      <c r="F99" s="14" t="s">
        <v>9</v>
      </c>
      <c r="G99" s="64">
        <f t="shared" si="3"/>
        <v>677.566666666667</v>
      </c>
    </row>
    <row r="100" customHeight="1" spans="1:7">
      <c r="A100" s="15">
        <v>44958</v>
      </c>
      <c r="B100" s="41">
        <v>828.5</v>
      </c>
      <c r="C100" s="63">
        <v>2137</v>
      </c>
      <c r="D100" s="18">
        <v>126.7</v>
      </c>
      <c r="E100" s="60">
        <f t="shared" si="2"/>
        <v>387693.027608797</v>
      </c>
      <c r="F100" s="19" t="s">
        <v>9</v>
      </c>
      <c r="G100" s="64">
        <f t="shared" si="3"/>
        <v>693.166666666667</v>
      </c>
    </row>
    <row r="101" customHeight="1" spans="1:7">
      <c r="A101" s="10">
        <v>44986</v>
      </c>
      <c r="B101" s="38">
        <v>811.5</v>
      </c>
      <c r="C101" s="59">
        <v>2093</v>
      </c>
      <c r="D101" s="13">
        <v>124.1</v>
      </c>
      <c r="E101" s="60">
        <f t="shared" si="2"/>
        <v>387720.974677496</v>
      </c>
      <c r="F101" s="14" t="s">
        <v>9</v>
      </c>
      <c r="G101" s="64">
        <f t="shared" si="3"/>
        <v>708.45</v>
      </c>
    </row>
    <row r="102" customHeight="1" spans="1:7">
      <c r="A102" s="15">
        <v>45017</v>
      </c>
      <c r="B102" s="41">
        <v>820</v>
      </c>
      <c r="C102" s="63">
        <v>2115</v>
      </c>
      <c r="D102" s="18">
        <v>125.4</v>
      </c>
      <c r="E102" s="60">
        <f t="shared" si="2"/>
        <v>387706.855791962</v>
      </c>
      <c r="F102" s="19" t="s">
        <v>9</v>
      </c>
      <c r="G102" s="64">
        <f t="shared" si="3"/>
        <v>723.891666666667</v>
      </c>
    </row>
    <row r="103" customHeight="1" spans="1:7">
      <c r="A103" s="10">
        <v>45047</v>
      </c>
      <c r="B103" s="38">
        <v>845.6</v>
      </c>
      <c r="C103" s="59">
        <v>2181</v>
      </c>
      <c r="D103" s="13">
        <v>129.4</v>
      </c>
      <c r="E103" s="60">
        <f t="shared" si="2"/>
        <v>387712.058688675</v>
      </c>
      <c r="F103" s="14" t="s">
        <v>9</v>
      </c>
      <c r="G103" s="64">
        <f t="shared" si="3"/>
        <v>739.808333333333</v>
      </c>
    </row>
    <row r="104" customHeight="1" spans="1:7">
      <c r="A104" s="15">
        <v>45078</v>
      </c>
      <c r="B104" s="41">
        <v>862.7</v>
      </c>
      <c r="C104" s="63">
        <v>2225</v>
      </c>
      <c r="D104" s="18">
        <v>132</v>
      </c>
      <c r="E104" s="60">
        <f t="shared" si="2"/>
        <v>387730.337078652</v>
      </c>
      <c r="F104" s="19" t="s">
        <v>9</v>
      </c>
      <c r="G104" s="64">
        <f t="shared" si="3"/>
        <v>756.05</v>
      </c>
    </row>
    <row r="105" customHeight="1" spans="1:7">
      <c r="A105" s="10">
        <v>45108</v>
      </c>
      <c r="B105" s="38">
        <v>871.2</v>
      </c>
      <c r="C105" s="59">
        <v>2247</v>
      </c>
      <c r="D105" s="13">
        <v>133.3</v>
      </c>
      <c r="E105" s="60">
        <f t="shared" si="2"/>
        <v>387716.955941255</v>
      </c>
      <c r="F105" s="14" t="s">
        <v>9</v>
      </c>
      <c r="G105" s="64">
        <f t="shared" si="3"/>
        <v>772.45</v>
      </c>
    </row>
    <row r="106" customHeight="1" spans="1:7">
      <c r="A106" s="15">
        <v>45139</v>
      </c>
      <c r="B106" s="52">
        <v>879.8</v>
      </c>
      <c r="C106" s="69">
        <v>2269</v>
      </c>
      <c r="D106" s="70">
        <v>134.6</v>
      </c>
      <c r="E106" s="60">
        <f t="shared" si="2"/>
        <v>387747.90656677</v>
      </c>
      <c r="F106" s="19" t="s">
        <v>9</v>
      </c>
      <c r="G106" s="64">
        <f t="shared" si="3"/>
        <v>789.016666666667</v>
      </c>
    </row>
    <row r="107" customHeight="1" spans="1:7">
      <c r="A107" s="10">
        <v>45170</v>
      </c>
      <c r="B107" s="38">
        <v>871.2</v>
      </c>
      <c r="C107" s="59">
        <v>2247</v>
      </c>
      <c r="D107" s="13">
        <v>133.3</v>
      </c>
      <c r="E107" s="60">
        <f t="shared" si="2"/>
        <v>387716.955941255</v>
      </c>
      <c r="F107" s="14" t="s">
        <v>9</v>
      </c>
      <c r="G107" s="64">
        <f t="shared" si="3"/>
        <v>805.416666666667</v>
      </c>
    </row>
    <row r="108" customHeight="1" spans="1:7">
      <c r="A108" s="15">
        <v>45200</v>
      </c>
      <c r="B108" s="41">
        <v>862.7</v>
      </c>
      <c r="C108" s="63">
        <v>2225</v>
      </c>
      <c r="D108" s="18">
        <v>132</v>
      </c>
      <c r="E108" s="60">
        <f t="shared" si="2"/>
        <v>387730.337078652</v>
      </c>
      <c r="F108" s="19" t="s">
        <v>9</v>
      </c>
      <c r="G108" s="64">
        <f t="shared" si="3"/>
        <v>821.658333333333</v>
      </c>
    </row>
    <row r="109" customHeight="1" spans="1:7">
      <c r="A109" s="10">
        <v>45231</v>
      </c>
      <c r="B109" s="38">
        <v>862.7</v>
      </c>
      <c r="C109" s="59">
        <v>2225</v>
      </c>
      <c r="D109" s="13">
        <v>132</v>
      </c>
      <c r="E109" s="60">
        <f t="shared" si="2"/>
        <v>387730.337078652</v>
      </c>
      <c r="F109" s="14" t="s">
        <v>9</v>
      </c>
      <c r="G109" s="64">
        <f t="shared" si="3"/>
        <v>837.9</v>
      </c>
    </row>
    <row r="110" customHeight="1" spans="1:7">
      <c r="A110" s="15">
        <v>45261</v>
      </c>
      <c r="B110" s="41">
        <v>862.9</v>
      </c>
      <c r="C110" s="63">
        <v>2223</v>
      </c>
      <c r="D110" s="18">
        <v>131.9</v>
      </c>
      <c r="E110" s="71">
        <f t="shared" si="2"/>
        <v>388169.14080072</v>
      </c>
      <c r="F110" s="19" t="s">
        <v>9</v>
      </c>
      <c r="G110" s="64">
        <f t="shared" si="3"/>
        <v>854.166666666667</v>
      </c>
    </row>
    <row r="111" customHeight="1" spans="1:7">
      <c r="A111" s="68">
        <v>45292</v>
      </c>
      <c r="B111" s="38">
        <v>359.2</v>
      </c>
      <c r="C111" s="59">
        <v>1189</v>
      </c>
      <c r="D111" s="13">
        <v>47.2</v>
      </c>
      <c r="E111" s="60">
        <f t="shared" si="2"/>
        <v>302102.607232969</v>
      </c>
      <c r="F111" s="14" t="s">
        <v>9</v>
      </c>
      <c r="G111" s="64">
        <f t="shared" si="3"/>
        <v>811.5</v>
      </c>
    </row>
    <row r="112" customHeight="1" spans="1:7">
      <c r="A112" s="15">
        <v>45323</v>
      </c>
      <c r="B112" s="41">
        <v>339.2</v>
      </c>
      <c r="C112" s="63">
        <v>1123</v>
      </c>
      <c r="D112" s="18">
        <v>44.6</v>
      </c>
      <c r="E112" s="60">
        <f t="shared" si="2"/>
        <v>302048.085485307</v>
      </c>
      <c r="F112" s="19" t="s">
        <v>9</v>
      </c>
      <c r="G112" s="64">
        <f t="shared" si="3"/>
        <v>770.725</v>
      </c>
    </row>
    <row r="113" customHeight="1" spans="1:7">
      <c r="A113" s="10">
        <v>45352</v>
      </c>
      <c r="B113" s="38">
        <v>311.3</v>
      </c>
      <c r="C113" s="59">
        <v>1031</v>
      </c>
      <c r="D113" s="13">
        <v>41</v>
      </c>
      <c r="E113" s="60">
        <f t="shared" si="2"/>
        <v>301939.864209505</v>
      </c>
      <c r="F113" s="14" t="s">
        <v>9</v>
      </c>
      <c r="G113" s="64">
        <f t="shared" si="3"/>
        <v>729.041666666667</v>
      </c>
    </row>
    <row r="114" customHeight="1" spans="1:7">
      <c r="A114" s="15">
        <v>45383</v>
      </c>
      <c r="B114" s="41">
        <v>287.4</v>
      </c>
      <c r="C114" s="63">
        <v>951</v>
      </c>
      <c r="D114" s="18">
        <v>37.8</v>
      </c>
      <c r="E114" s="60">
        <f t="shared" si="2"/>
        <v>302208.201892744</v>
      </c>
      <c r="F114" s="19" t="s">
        <v>9</v>
      </c>
      <c r="G114" s="64">
        <f t="shared" si="3"/>
        <v>684.658333333333</v>
      </c>
    </row>
    <row r="115" customHeight="1" spans="1:7">
      <c r="A115" s="10">
        <v>45413</v>
      </c>
      <c r="B115" s="38">
        <v>271.4</v>
      </c>
      <c r="C115" s="59">
        <v>898</v>
      </c>
      <c r="D115" s="13">
        <v>35.7</v>
      </c>
      <c r="E115" s="60">
        <f t="shared" si="2"/>
        <v>302227.171492205</v>
      </c>
      <c r="F115" s="14" t="s">
        <v>9</v>
      </c>
      <c r="G115" s="64">
        <f t="shared" si="3"/>
        <v>636.808333333333</v>
      </c>
    </row>
    <row r="116" customHeight="1" spans="1:7">
      <c r="A116" s="15">
        <v>45444</v>
      </c>
      <c r="B116" s="72">
        <v>259.4</v>
      </c>
      <c r="C116" s="63">
        <v>859</v>
      </c>
      <c r="D116" s="18">
        <v>34.1</v>
      </c>
      <c r="E116" s="60">
        <f t="shared" si="2"/>
        <v>301979.04540163</v>
      </c>
      <c r="F116" s="19" t="s">
        <v>9</v>
      </c>
      <c r="G116" s="64">
        <f t="shared" si="3"/>
        <v>586.533333333333</v>
      </c>
    </row>
    <row r="117" customHeight="1" spans="1:7">
      <c r="A117" s="10">
        <v>45474</v>
      </c>
      <c r="B117" s="38">
        <v>319.3</v>
      </c>
      <c r="C117" s="59">
        <v>1057</v>
      </c>
      <c r="D117" s="13">
        <v>42</v>
      </c>
      <c r="E117" s="60">
        <f t="shared" si="2"/>
        <v>302081.362346263</v>
      </c>
      <c r="F117" s="14" t="s">
        <v>9</v>
      </c>
      <c r="G117" s="64">
        <f t="shared" si="3"/>
        <v>540.541666666667</v>
      </c>
    </row>
    <row r="118" customHeight="1" spans="1:7">
      <c r="A118" s="15">
        <v>45505</v>
      </c>
      <c r="B118" s="41">
        <v>351.2</v>
      </c>
      <c r="C118" s="63">
        <v>1163</v>
      </c>
      <c r="D118" s="18">
        <v>46.2</v>
      </c>
      <c r="E118" s="60">
        <f t="shared" si="2"/>
        <v>301977.644024076</v>
      </c>
      <c r="F118" s="19" t="s">
        <v>9</v>
      </c>
      <c r="G118" s="64">
        <f t="shared" si="3"/>
        <v>496.491666666667</v>
      </c>
    </row>
    <row r="119" customHeight="1" spans="1:7">
      <c r="A119" s="10">
        <v>45536</v>
      </c>
      <c r="B119" s="38">
        <v>367.2</v>
      </c>
      <c r="C119" s="59">
        <v>1216</v>
      </c>
      <c r="D119" s="13">
        <v>48.3</v>
      </c>
      <c r="E119" s="60">
        <f t="shared" si="2"/>
        <v>301973.684210526</v>
      </c>
      <c r="F119" s="14" t="s">
        <v>9</v>
      </c>
      <c r="G119" s="64">
        <f t="shared" si="3"/>
        <v>454.491666666667</v>
      </c>
    </row>
    <row r="120" customHeight="1" spans="1:7">
      <c r="A120" s="15">
        <v>45566</v>
      </c>
      <c r="B120" s="41">
        <v>379.1</v>
      </c>
      <c r="C120" s="63">
        <v>1255</v>
      </c>
      <c r="D120" s="18">
        <v>49.9</v>
      </c>
      <c r="E120" s="60">
        <f t="shared" si="2"/>
        <v>302071.71314741</v>
      </c>
      <c r="F120" s="19" t="s">
        <v>9</v>
      </c>
      <c r="G120" s="64">
        <f t="shared" si="3"/>
        <v>414.191666666667</v>
      </c>
    </row>
    <row r="121" customHeight="1" spans="1:7">
      <c r="A121" s="10">
        <v>45597</v>
      </c>
      <c r="B121" s="38">
        <v>371.2</v>
      </c>
      <c r="C121" s="59">
        <v>1229</v>
      </c>
      <c r="D121" s="13">
        <v>48.8</v>
      </c>
      <c r="E121" s="60">
        <f t="shared" si="2"/>
        <v>302034.174125305</v>
      </c>
      <c r="F121" s="14" t="s">
        <v>9</v>
      </c>
      <c r="G121" s="64">
        <f t="shared" si="3"/>
        <v>373.233333333333</v>
      </c>
    </row>
    <row r="122" customHeight="1" spans="1:7">
      <c r="A122" s="20">
        <v>45627</v>
      </c>
      <c r="B122" s="42">
        <v>375.1</v>
      </c>
      <c r="C122" s="73">
        <v>1242</v>
      </c>
      <c r="D122" s="23">
        <v>49.4</v>
      </c>
      <c r="E122" s="74">
        <f t="shared" si="2"/>
        <v>302012.882447665</v>
      </c>
      <c r="F122" s="24" t="s">
        <v>9</v>
      </c>
      <c r="G122" s="64">
        <f t="shared" si="3"/>
        <v>332.583333333333</v>
      </c>
    </row>
  </sheetData>
  <mergeCells count="1">
    <mergeCell ref="A1:F1"/>
  </mergeCells>
  <dataValidations count="1">
    <dataValidation type="whole" operator="greaterThan" allowBlank="1" showInputMessage="1" showErrorMessage="1" errorTitle="more than ziro" error="thare is a ship" promptTitle="more than ziro" prompt="these is a ship" sqref="C3:C122">
      <formula1>0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ignoredErrors>
    <ignoredError sqref="G14:G122" formulaRange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3"/>
  <sheetViews>
    <sheetView showGridLines="0" workbookViewId="0">
      <pane ySplit="2" topLeftCell="A3" activePane="bottomLeft" state="frozen"/>
      <selection/>
      <selection pane="bottomLeft" activeCell="F124" sqref="B124:F130"/>
    </sheetView>
  </sheetViews>
  <sheetFormatPr defaultColWidth="8.71428571428571" defaultRowHeight="15" outlineLevelCol="6"/>
  <cols>
    <col min="1" max="1" width="12" customWidth="1"/>
    <col min="2" max="3" width="16" customWidth="1"/>
    <col min="4" max="4" width="15.8571428571429" customWidth="1"/>
    <col min="5" max="5" width="20" customWidth="1"/>
    <col min="6" max="6" width="22" customWidth="1"/>
    <col min="7" max="7" width="17.8571428571429" customWidth="1"/>
    <col min="8" max="8" width="9.28571428571429" customWidth="1"/>
  </cols>
  <sheetData>
    <row r="1" ht="27.75" customHeight="1" spans="1:6">
      <c r="A1" s="1" t="s">
        <v>10</v>
      </c>
      <c r="B1" s="1"/>
      <c r="C1" s="1"/>
      <c r="D1" s="1"/>
      <c r="E1" s="1"/>
      <c r="F1" s="1"/>
    </row>
    <row r="2" ht="36" customHeight="1" spans="1:6">
      <c r="A2" s="7" t="s">
        <v>1</v>
      </c>
      <c r="B2" s="8" t="s">
        <v>11</v>
      </c>
      <c r="C2" s="8" t="s">
        <v>12</v>
      </c>
      <c r="D2" s="8" t="s">
        <v>13</v>
      </c>
      <c r="E2" s="8" t="s">
        <v>14</v>
      </c>
      <c r="F2" s="9" t="s">
        <v>6</v>
      </c>
    </row>
    <row r="3" customHeight="1" spans="1:6">
      <c r="A3" s="10">
        <v>42005</v>
      </c>
      <c r="B3" s="38">
        <v>1555.5</v>
      </c>
      <c r="C3" s="38">
        <v>5584.5</v>
      </c>
      <c r="D3" s="39">
        <f>B3-C3</f>
        <v>-4029</v>
      </c>
      <c r="E3" s="40">
        <f>B3/C3</f>
        <v>0.278538812785388</v>
      </c>
      <c r="F3" s="14" t="s">
        <v>8</v>
      </c>
    </row>
    <row r="4" customHeight="1" spans="1:6">
      <c r="A4" s="15">
        <v>42036</v>
      </c>
      <c r="B4" s="41">
        <v>1479.2</v>
      </c>
      <c r="C4" s="41">
        <v>5310.8</v>
      </c>
      <c r="D4" s="39">
        <f t="shared" ref="D4:D67" si="0">B4-C4</f>
        <v>-3831.6</v>
      </c>
      <c r="E4" s="40">
        <f t="shared" ref="E4:E67" si="1">B4/C4</f>
        <v>0.278526775627024</v>
      </c>
      <c r="F4" s="19" t="s">
        <v>8</v>
      </c>
    </row>
    <row r="5" customHeight="1" spans="1:6">
      <c r="A5" s="10">
        <v>42064</v>
      </c>
      <c r="B5" s="38">
        <v>1448.8</v>
      </c>
      <c r="C5" s="38">
        <v>5201.2</v>
      </c>
      <c r="D5" s="39">
        <f t="shared" si="0"/>
        <v>-3752.4</v>
      </c>
      <c r="E5" s="40">
        <f t="shared" si="1"/>
        <v>0.278551103591479</v>
      </c>
      <c r="F5" s="14" t="s">
        <v>8</v>
      </c>
    </row>
    <row r="6" customHeight="1" spans="1:6">
      <c r="A6" s="15">
        <v>42095</v>
      </c>
      <c r="B6" s="41">
        <v>1464</v>
      </c>
      <c r="C6" s="41">
        <v>5256</v>
      </c>
      <c r="D6" s="39">
        <f t="shared" si="0"/>
        <v>-3792</v>
      </c>
      <c r="E6" s="40">
        <f t="shared" si="1"/>
        <v>0.278538812785388</v>
      </c>
      <c r="F6" s="19" t="s">
        <v>8</v>
      </c>
    </row>
    <row r="7" customHeight="1" spans="1:6">
      <c r="A7" s="10">
        <v>42125</v>
      </c>
      <c r="B7" s="38">
        <v>1509.8</v>
      </c>
      <c r="C7" s="38">
        <v>5420.2</v>
      </c>
      <c r="D7" s="39">
        <f t="shared" si="0"/>
        <v>-3910.4</v>
      </c>
      <c r="E7" s="40">
        <f t="shared" si="1"/>
        <v>0.278550606988672</v>
      </c>
      <c r="F7" s="14" t="s">
        <v>8</v>
      </c>
    </row>
    <row r="8" customHeight="1" spans="1:6">
      <c r="A8" s="15">
        <v>42156</v>
      </c>
      <c r="B8" s="41">
        <v>1540.2</v>
      </c>
      <c r="C8" s="41">
        <v>5529.8</v>
      </c>
      <c r="D8" s="39">
        <f t="shared" si="0"/>
        <v>-3989.6</v>
      </c>
      <c r="E8" s="40">
        <f t="shared" si="1"/>
        <v>0.278527252341857</v>
      </c>
      <c r="F8" s="19" t="s">
        <v>8</v>
      </c>
    </row>
    <row r="9" customHeight="1" spans="1:6">
      <c r="A9" s="10">
        <v>42186</v>
      </c>
      <c r="B9" s="38">
        <v>1555.5</v>
      </c>
      <c r="C9" s="38">
        <v>5584.5</v>
      </c>
      <c r="D9" s="39">
        <f t="shared" si="0"/>
        <v>-4029</v>
      </c>
      <c r="E9" s="40">
        <f t="shared" si="1"/>
        <v>0.278538812785388</v>
      </c>
      <c r="F9" s="14" t="s">
        <v>8</v>
      </c>
    </row>
    <row r="10" customHeight="1" spans="1:6">
      <c r="A10" s="15">
        <v>42217</v>
      </c>
      <c r="B10" s="41">
        <v>1570.8</v>
      </c>
      <c r="C10" s="41">
        <v>5639.2</v>
      </c>
      <c r="D10" s="39">
        <f t="shared" si="0"/>
        <v>-4068.4</v>
      </c>
      <c r="E10" s="40">
        <f t="shared" si="1"/>
        <v>0.278550148957299</v>
      </c>
      <c r="F10" s="19" t="s">
        <v>8</v>
      </c>
    </row>
    <row r="11" customHeight="1" spans="1:6">
      <c r="A11" s="10">
        <v>42248</v>
      </c>
      <c r="B11" s="38">
        <v>1555.5</v>
      </c>
      <c r="C11" s="38">
        <v>5584.5</v>
      </c>
      <c r="D11" s="39">
        <f t="shared" si="0"/>
        <v>-4029</v>
      </c>
      <c r="E11" s="40">
        <f t="shared" si="1"/>
        <v>0.278538812785388</v>
      </c>
      <c r="F11" s="14" t="s">
        <v>8</v>
      </c>
    </row>
    <row r="12" customHeight="1" spans="1:6">
      <c r="A12" s="15">
        <v>42278</v>
      </c>
      <c r="B12" s="41">
        <v>1540.2</v>
      </c>
      <c r="C12" s="41">
        <v>5529.8</v>
      </c>
      <c r="D12" s="39">
        <f t="shared" si="0"/>
        <v>-3989.6</v>
      </c>
      <c r="E12" s="40">
        <f t="shared" si="1"/>
        <v>0.278527252341857</v>
      </c>
      <c r="F12" s="19" t="s">
        <v>8</v>
      </c>
    </row>
    <row r="13" customHeight="1" spans="1:6">
      <c r="A13" s="10">
        <v>42309</v>
      </c>
      <c r="B13" s="38">
        <v>1540.2</v>
      </c>
      <c r="C13" s="38">
        <v>5529.8</v>
      </c>
      <c r="D13" s="39">
        <f t="shared" si="0"/>
        <v>-3989.6</v>
      </c>
      <c r="E13" s="40">
        <f t="shared" si="1"/>
        <v>0.278527252341857</v>
      </c>
      <c r="F13" s="14" t="s">
        <v>8</v>
      </c>
    </row>
    <row r="14" customHeight="1" spans="1:6">
      <c r="A14" s="15">
        <v>42339</v>
      </c>
      <c r="B14" s="41">
        <v>1540.3</v>
      </c>
      <c r="C14" s="41">
        <v>5529.7</v>
      </c>
      <c r="D14" s="39">
        <f t="shared" si="0"/>
        <v>-3989.4</v>
      </c>
      <c r="E14" s="40">
        <f t="shared" si="1"/>
        <v>0.27855037343798</v>
      </c>
      <c r="F14" s="19" t="s">
        <v>8</v>
      </c>
    </row>
    <row r="15" customHeight="1" spans="1:6">
      <c r="A15" s="10">
        <v>42370</v>
      </c>
      <c r="B15" s="38">
        <v>1385.5</v>
      </c>
      <c r="C15" s="38">
        <v>4819.5</v>
      </c>
      <c r="D15" s="39">
        <f t="shared" si="0"/>
        <v>-3434</v>
      </c>
      <c r="E15" s="40">
        <f t="shared" si="1"/>
        <v>0.287477954144621</v>
      </c>
      <c r="F15" s="14" t="s">
        <v>8</v>
      </c>
    </row>
    <row r="16" customHeight="1" spans="1:6">
      <c r="A16" s="15">
        <v>42401</v>
      </c>
      <c r="B16" s="41">
        <v>1317.6</v>
      </c>
      <c r="C16" s="41">
        <v>4583.2</v>
      </c>
      <c r="D16" s="39">
        <f t="shared" si="0"/>
        <v>-3265.6</v>
      </c>
      <c r="E16" s="40">
        <f t="shared" si="1"/>
        <v>0.287484726828417</v>
      </c>
      <c r="F16" s="19" t="s">
        <v>8</v>
      </c>
    </row>
    <row r="17" customHeight="1" spans="1:6">
      <c r="A17" s="10">
        <v>42430</v>
      </c>
      <c r="B17" s="38">
        <v>1290.4</v>
      </c>
      <c r="C17" s="38">
        <v>4488.8</v>
      </c>
      <c r="D17" s="39">
        <f t="shared" si="0"/>
        <v>-3198.4</v>
      </c>
      <c r="E17" s="40">
        <f t="shared" si="1"/>
        <v>0.287471039030476</v>
      </c>
      <c r="F17" s="14" t="s">
        <v>8</v>
      </c>
    </row>
    <row r="18" customHeight="1" spans="1:6">
      <c r="A18" s="15">
        <v>42461</v>
      </c>
      <c r="B18" s="41">
        <v>1304</v>
      </c>
      <c r="C18" s="41">
        <v>4536</v>
      </c>
      <c r="D18" s="39">
        <f t="shared" si="0"/>
        <v>-3232</v>
      </c>
      <c r="E18" s="40">
        <f t="shared" si="1"/>
        <v>0.287477954144621</v>
      </c>
      <c r="F18" s="19" t="s">
        <v>8</v>
      </c>
    </row>
    <row r="19" customHeight="1" spans="1:6">
      <c r="A19" s="10">
        <v>42491</v>
      </c>
      <c r="B19" s="38">
        <v>1344.8</v>
      </c>
      <c r="C19" s="38">
        <v>4677.8</v>
      </c>
      <c r="D19" s="39">
        <f t="shared" si="0"/>
        <v>-3333</v>
      </c>
      <c r="E19" s="40">
        <f t="shared" si="1"/>
        <v>0.287485570139809</v>
      </c>
      <c r="F19" s="14" t="s">
        <v>8</v>
      </c>
    </row>
    <row r="20" customHeight="1" spans="1:6">
      <c r="A20" s="15">
        <v>42522</v>
      </c>
      <c r="B20" s="41">
        <v>1371.9</v>
      </c>
      <c r="C20" s="41">
        <v>4772.2</v>
      </c>
      <c r="D20" s="39">
        <f t="shared" si="0"/>
        <v>-3400.3</v>
      </c>
      <c r="E20" s="40">
        <f t="shared" si="1"/>
        <v>0.287477473701857</v>
      </c>
      <c r="F20" s="19" t="s">
        <v>8</v>
      </c>
    </row>
    <row r="21" customHeight="1" spans="1:6">
      <c r="A21" s="10">
        <v>42552</v>
      </c>
      <c r="B21" s="38">
        <v>1385.5</v>
      </c>
      <c r="C21" s="38">
        <v>4819.5</v>
      </c>
      <c r="D21" s="39">
        <f t="shared" si="0"/>
        <v>-3434</v>
      </c>
      <c r="E21" s="40">
        <f t="shared" si="1"/>
        <v>0.287477954144621</v>
      </c>
      <c r="F21" s="14" t="s">
        <v>8</v>
      </c>
    </row>
    <row r="22" customHeight="1" spans="1:6">
      <c r="A22" s="15">
        <v>42583</v>
      </c>
      <c r="B22" s="41">
        <v>1399.1</v>
      </c>
      <c r="C22" s="41">
        <v>4866.8</v>
      </c>
      <c r="D22" s="39">
        <f t="shared" si="0"/>
        <v>-3467.7</v>
      </c>
      <c r="E22" s="40">
        <f t="shared" si="1"/>
        <v>0.287478425248623</v>
      </c>
      <c r="F22" s="19" t="s">
        <v>8</v>
      </c>
    </row>
    <row r="23" customHeight="1" spans="1:6">
      <c r="A23" s="10">
        <v>42614</v>
      </c>
      <c r="B23" s="38">
        <v>1385.5</v>
      </c>
      <c r="C23" s="38">
        <v>4819.5</v>
      </c>
      <c r="D23" s="39">
        <f t="shared" si="0"/>
        <v>-3434</v>
      </c>
      <c r="E23" s="40">
        <f t="shared" si="1"/>
        <v>0.287477954144621</v>
      </c>
      <c r="F23" s="14" t="s">
        <v>8</v>
      </c>
    </row>
    <row r="24" customHeight="1" spans="1:6">
      <c r="A24" s="20">
        <v>42644</v>
      </c>
      <c r="B24" s="42">
        <v>1371.9</v>
      </c>
      <c r="C24" s="42">
        <v>4772.2</v>
      </c>
      <c r="D24" s="43">
        <f t="shared" si="0"/>
        <v>-3400.3</v>
      </c>
      <c r="E24" s="44">
        <f t="shared" si="1"/>
        <v>0.287477473701857</v>
      </c>
      <c r="F24" s="24" t="s">
        <v>8</v>
      </c>
    </row>
    <row r="25" customHeight="1" spans="1:6">
      <c r="A25" s="25">
        <v>42675</v>
      </c>
      <c r="B25" s="45">
        <v>1371.9</v>
      </c>
      <c r="C25" s="45">
        <v>4772.2</v>
      </c>
      <c r="D25" s="46">
        <f t="shared" si="0"/>
        <v>-3400.3</v>
      </c>
      <c r="E25" s="47">
        <f t="shared" si="1"/>
        <v>0.287477473701857</v>
      </c>
      <c r="F25" s="29" t="s">
        <v>8</v>
      </c>
    </row>
    <row r="26" customHeight="1" spans="1:6">
      <c r="A26" s="30">
        <v>42705</v>
      </c>
      <c r="B26" s="48">
        <v>1371.9</v>
      </c>
      <c r="C26" s="48">
        <v>4772.3</v>
      </c>
      <c r="D26" s="49">
        <f t="shared" si="0"/>
        <v>-3400.4</v>
      </c>
      <c r="E26" s="50">
        <f t="shared" si="1"/>
        <v>0.287471449825032</v>
      </c>
      <c r="F26" s="34" t="s">
        <v>8</v>
      </c>
    </row>
    <row r="27" customHeight="1" spans="1:6">
      <c r="A27" s="10">
        <v>42736</v>
      </c>
      <c r="B27" s="38">
        <v>1904</v>
      </c>
      <c r="C27" s="38">
        <v>5202</v>
      </c>
      <c r="D27" s="39">
        <f t="shared" si="0"/>
        <v>-3298</v>
      </c>
      <c r="E27" s="40">
        <f t="shared" si="1"/>
        <v>0.366013071895425</v>
      </c>
      <c r="F27" s="14" t="s">
        <v>8</v>
      </c>
    </row>
    <row r="28" customHeight="1" spans="1:6">
      <c r="A28" s="15">
        <v>42767</v>
      </c>
      <c r="B28" s="41">
        <v>1810.7</v>
      </c>
      <c r="C28" s="41">
        <v>4947</v>
      </c>
      <c r="D28" s="39">
        <f t="shared" si="0"/>
        <v>-3136.3</v>
      </c>
      <c r="E28" s="40">
        <f t="shared" si="1"/>
        <v>0.36601980998585</v>
      </c>
      <c r="F28" s="19" t="s">
        <v>8</v>
      </c>
    </row>
    <row r="29" customHeight="1" spans="1:6">
      <c r="A29" s="10">
        <v>42795</v>
      </c>
      <c r="B29" s="38">
        <v>1773.3</v>
      </c>
      <c r="C29" s="38">
        <v>4845</v>
      </c>
      <c r="D29" s="39">
        <f t="shared" si="0"/>
        <v>-3071.7</v>
      </c>
      <c r="E29" s="40">
        <f t="shared" si="1"/>
        <v>0.366006191950464</v>
      </c>
      <c r="F29" s="14" t="s">
        <v>8</v>
      </c>
    </row>
    <row r="30" customHeight="1" spans="1:6">
      <c r="A30" s="15">
        <v>42826</v>
      </c>
      <c r="B30" s="41">
        <v>1792</v>
      </c>
      <c r="C30" s="41">
        <v>4896</v>
      </c>
      <c r="D30" s="39">
        <f t="shared" si="0"/>
        <v>-3104</v>
      </c>
      <c r="E30" s="40">
        <f t="shared" si="1"/>
        <v>0.366013071895425</v>
      </c>
      <c r="F30" s="19" t="s">
        <v>8</v>
      </c>
    </row>
    <row r="31" customHeight="1" spans="1:6">
      <c r="A31" s="10">
        <v>42856</v>
      </c>
      <c r="B31" s="38">
        <v>1848</v>
      </c>
      <c r="C31" s="38">
        <v>5049</v>
      </c>
      <c r="D31" s="39">
        <f t="shared" si="0"/>
        <v>-3201</v>
      </c>
      <c r="E31" s="40">
        <f t="shared" si="1"/>
        <v>0.366013071895425</v>
      </c>
      <c r="F31" s="14" t="s">
        <v>8</v>
      </c>
    </row>
    <row r="32" customHeight="1" spans="1:6">
      <c r="A32" s="15">
        <v>42887</v>
      </c>
      <c r="B32" s="41">
        <v>1885.3</v>
      </c>
      <c r="C32" s="41">
        <v>5151</v>
      </c>
      <c r="D32" s="39">
        <f t="shared" si="0"/>
        <v>-3265.7</v>
      </c>
      <c r="E32" s="40">
        <f t="shared" si="1"/>
        <v>0.366006600660066</v>
      </c>
      <c r="F32" s="19" t="s">
        <v>8</v>
      </c>
    </row>
    <row r="33" customHeight="1" spans="1:6">
      <c r="A33" s="10">
        <v>42917</v>
      </c>
      <c r="B33" s="38">
        <v>1904</v>
      </c>
      <c r="C33" s="38">
        <v>5202</v>
      </c>
      <c r="D33" s="39">
        <f t="shared" si="0"/>
        <v>-3298</v>
      </c>
      <c r="E33" s="40">
        <f t="shared" si="1"/>
        <v>0.366013071895425</v>
      </c>
      <c r="F33" s="14" t="s">
        <v>8</v>
      </c>
    </row>
    <row r="34" customHeight="1" spans="1:6">
      <c r="A34" s="15">
        <v>42948</v>
      </c>
      <c r="B34" s="41">
        <v>1922.7</v>
      </c>
      <c r="C34" s="41">
        <v>5253</v>
      </c>
      <c r="D34" s="39">
        <f t="shared" si="0"/>
        <v>-3330.3</v>
      </c>
      <c r="E34" s="40">
        <f t="shared" si="1"/>
        <v>0.366019417475728</v>
      </c>
      <c r="F34" s="19" t="s">
        <v>8</v>
      </c>
    </row>
    <row r="35" customHeight="1" spans="1:6">
      <c r="A35" s="10">
        <v>42979</v>
      </c>
      <c r="B35" s="38">
        <v>1904</v>
      </c>
      <c r="C35" s="38">
        <v>5202</v>
      </c>
      <c r="D35" s="39">
        <f t="shared" si="0"/>
        <v>-3298</v>
      </c>
      <c r="E35" s="40">
        <f t="shared" si="1"/>
        <v>0.366013071895425</v>
      </c>
      <c r="F35" s="14" t="s">
        <v>8</v>
      </c>
    </row>
    <row r="36" customHeight="1" spans="1:6">
      <c r="A36" s="15">
        <v>43009</v>
      </c>
      <c r="B36" s="41">
        <v>1885.3</v>
      </c>
      <c r="C36" s="41">
        <v>5151</v>
      </c>
      <c r="D36" s="39">
        <f t="shared" si="0"/>
        <v>-3265.7</v>
      </c>
      <c r="E36" s="40">
        <f t="shared" si="1"/>
        <v>0.366006600660066</v>
      </c>
      <c r="F36" s="19" t="s">
        <v>8</v>
      </c>
    </row>
    <row r="37" customHeight="1" spans="1:6">
      <c r="A37" s="10">
        <v>43040</v>
      </c>
      <c r="B37" s="38">
        <v>1885.3</v>
      </c>
      <c r="C37" s="38">
        <v>5151</v>
      </c>
      <c r="D37" s="39">
        <f t="shared" si="0"/>
        <v>-3265.7</v>
      </c>
      <c r="E37" s="40">
        <f t="shared" si="1"/>
        <v>0.366006600660066</v>
      </c>
      <c r="F37" s="14" t="s">
        <v>8</v>
      </c>
    </row>
    <row r="38" customHeight="1" spans="1:6">
      <c r="A38" s="15">
        <v>43070</v>
      </c>
      <c r="B38" s="41">
        <v>1885.4</v>
      </c>
      <c r="C38" s="41">
        <v>5151</v>
      </c>
      <c r="D38" s="39">
        <f t="shared" si="0"/>
        <v>-3265.6</v>
      </c>
      <c r="E38" s="40">
        <f t="shared" si="1"/>
        <v>0.366026014366143</v>
      </c>
      <c r="F38" s="19" t="s">
        <v>8</v>
      </c>
    </row>
    <row r="39" customHeight="1" spans="1:6">
      <c r="A39" s="10">
        <v>43101</v>
      </c>
      <c r="B39" s="38">
        <v>2286.5</v>
      </c>
      <c r="C39" s="38">
        <v>5797</v>
      </c>
      <c r="D39" s="39">
        <f t="shared" si="0"/>
        <v>-3510.5</v>
      </c>
      <c r="E39" s="40">
        <f t="shared" si="1"/>
        <v>0.394428152492669</v>
      </c>
      <c r="F39" s="14" t="s">
        <v>8</v>
      </c>
    </row>
    <row r="40" customHeight="1" spans="1:6">
      <c r="A40" s="15">
        <v>43132</v>
      </c>
      <c r="B40" s="41">
        <v>2174.4</v>
      </c>
      <c r="C40" s="41">
        <v>5512.8</v>
      </c>
      <c r="D40" s="39">
        <f t="shared" si="0"/>
        <v>-3338.4</v>
      </c>
      <c r="E40" s="40">
        <f t="shared" si="1"/>
        <v>0.39442751414889</v>
      </c>
      <c r="F40" s="19" t="s">
        <v>8</v>
      </c>
    </row>
    <row r="41" customHeight="1" spans="1:6">
      <c r="A41" s="10">
        <v>43160</v>
      </c>
      <c r="B41" s="38">
        <v>2129.6</v>
      </c>
      <c r="C41" s="38">
        <v>5399.2</v>
      </c>
      <c r="D41" s="39">
        <f t="shared" si="0"/>
        <v>-3269.6</v>
      </c>
      <c r="E41" s="40">
        <f t="shared" si="1"/>
        <v>0.394428804267299</v>
      </c>
      <c r="F41" s="14" t="s">
        <v>8</v>
      </c>
    </row>
    <row r="42" customHeight="1" spans="1:6">
      <c r="A42" s="15">
        <v>43191</v>
      </c>
      <c r="B42" s="41">
        <v>2152</v>
      </c>
      <c r="C42" s="41">
        <v>5456</v>
      </c>
      <c r="D42" s="39">
        <f t="shared" si="0"/>
        <v>-3304</v>
      </c>
      <c r="E42" s="40">
        <f t="shared" si="1"/>
        <v>0.394428152492669</v>
      </c>
      <c r="F42" s="19" t="s">
        <v>8</v>
      </c>
    </row>
    <row r="43" customHeight="1" spans="1:6">
      <c r="A43" s="10">
        <v>43221</v>
      </c>
      <c r="B43" s="38">
        <v>2219.2</v>
      </c>
      <c r="C43" s="38">
        <v>5626.5</v>
      </c>
      <c r="D43" s="39">
        <f t="shared" si="0"/>
        <v>-3407.3</v>
      </c>
      <c r="E43" s="40">
        <f t="shared" si="1"/>
        <v>0.394419265973518</v>
      </c>
      <c r="F43" s="14" t="s">
        <v>8</v>
      </c>
    </row>
    <row r="44" customHeight="1" spans="1:6">
      <c r="A44" s="15">
        <v>43252</v>
      </c>
      <c r="B44" s="41">
        <v>2264.1</v>
      </c>
      <c r="C44" s="41">
        <v>5740.2</v>
      </c>
      <c r="D44" s="39">
        <f t="shared" si="0"/>
        <v>-3476.1</v>
      </c>
      <c r="E44" s="40">
        <f t="shared" si="1"/>
        <v>0.394428765548239</v>
      </c>
      <c r="F44" s="19" t="s">
        <v>8</v>
      </c>
    </row>
    <row r="45" customHeight="1" spans="1:6">
      <c r="A45" s="10">
        <v>43282</v>
      </c>
      <c r="B45" s="38">
        <v>2286.5</v>
      </c>
      <c r="C45" s="38">
        <v>5797</v>
      </c>
      <c r="D45" s="39">
        <f t="shared" si="0"/>
        <v>-3510.5</v>
      </c>
      <c r="E45" s="40">
        <f t="shared" si="1"/>
        <v>0.394428152492669</v>
      </c>
      <c r="F45" s="14" t="s">
        <v>8</v>
      </c>
    </row>
    <row r="46" customHeight="1" spans="1:6">
      <c r="A46" s="15">
        <v>43313</v>
      </c>
      <c r="B46" s="41">
        <v>2308.9</v>
      </c>
      <c r="C46" s="41">
        <v>5853.8</v>
      </c>
      <c r="D46" s="39">
        <f t="shared" si="0"/>
        <v>-3544.9</v>
      </c>
      <c r="E46" s="40">
        <f t="shared" si="1"/>
        <v>0.394427551334176</v>
      </c>
      <c r="F46" s="19" t="s">
        <v>8</v>
      </c>
    </row>
    <row r="47" customHeight="1" spans="1:6">
      <c r="A47" s="10">
        <v>43344</v>
      </c>
      <c r="B47" s="38">
        <v>2286.5</v>
      </c>
      <c r="C47" s="38">
        <v>5797</v>
      </c>
      <c r="D47" s="39">
        <f t="shared" si="0"/>
        <v>-3510.5</v>
      </c>
      <c r="E47" s="40">
        <f t="shared" si="1"/>
        <v>0.394428152492669</v>
      </c>
      <c r="F47" s="14" t="s">
        <v>8</v>
      </c>
    </row>
    <row r="48" customHeight="1" spans="1:6">
      <c r="A48" s="15">
        <v>43374</v>
      </c>
      <c r="B48" s="41">
        <v>2264.1</v>
      </c>
      <c r="C48" s="41">
        <v>5740.2</v>
      </c>
      <c r="D48" s="39">
        <f t="shared" si="0"/>
        <v>-3476.1</v>
      </c>
      <c r="E48" s="40">
        <f t="shared" si="1"/>
        <v>0.394428765548239</v>
      </c>
      <c r="F48" s="19" t="s">
        <v>8</v>
      </c>
    </row>
    <row r="49" customHeight="1" spans="1:6">
      <c r="A49" s="10">
        <v>43405</v>
      </c>
      <c r="B49" s="38">
        <v>2264.1</v>
      </c>
      <c r="C49" s="38">
        <v>5740.2</v>
      </c>
      <c r="D49" s="39">
        <f t="shared" si="0"/>
        <v>-3476.1</v>
      </c>
      <c r="E49" s="40">
        <f t="shared" si="1"/>
        <v>0.394428765548239</v>
      </c>
      <c r="F49" s="14" t="s">
        <v>8</v>
      </c>
    </row>
    <row r="50" customHeight="1" spans="1:6">
      <c r="A50" s="15">
        <v>43435</v>
      </c>
      <c r="B50" s="41">
        <v>2264.1</v>
      </c>
      <c r="C50" s="41">
        <v>5740.1</v>
      </c>
      <c r="D50" s="39">
        <f t="shared" si="0"/>
        <v>-3476</v>
      </c>
      <c r="E50" s="40">
        <f t="shared" si="1"/>
        <v>0.394435637009808</v>
      </c>
      <c r="F50" s="19" t="s">
        <v>8</v>
      </c>
    </row>
    <row r="51" customHeight="1" spans="1:6">
      <c r="A51" s="10">
        <v>43466</v>
      </c>
      <c r="B51" s="38">
        <v>2278</v>
      </c>
      <c r="C51" s="38">
        <v>5601.5</v>
      </c>
      <c r="D51" s="39">
        <f t="shared" si="0"/>
        <v>-3323.5</v>
      </c>
      <c r="E51" s="40">
        <f t="shared" si="1"/>
        <v>0.406676783004552</v>
      </c>
      <c r="F51" s="14" t="s">
        <v>8</v>
      </c>
    </row>
    <row r="52" customHeight="1" spans="1:6">
      <c r="A52" s="15">
        <v>43497</v>
      </c>
      <c r="B52" s="41">
        <v>2166.3</v>
      </c>
      <c r="C52" s="41">
        <v>5326.9</v>
      </c>
      <c r="D52" s="39">
        <f t="shared" si="0"/>
        <v>-3160.6</v>
      </c>
      <c r="E52" s="40">
        <f t="shared" si="1"/>
        <v>0.406671797856164</v>
      </c>
      <c r="F52" s="19" t="s">
        <v>8</v>
      </c>
    </row>
    <row r="53" customHeight="1" spans="1:6">
      <c r="A53" s="10">
        <v>43525</v>
      </c>
      <c r="B53" s="38">
        <v>2121.7</v>
      </c>
      <c r="C53" s="38">
        <v>5217.1</v>
      </c>
      <c r="D53" s="39">
        <f t="shared" si="0"/>
        <v>-3095.4</v>
      </c>
      <c r="E53" s="40">
        <f t="shared" si="1"/>
        <v>0.406681873071246</v>
      </c>
      <c r="F53" s="14" t="s">
        <v>8</v>
      </c>
    </row>
    <row r="54" customHeight="1" spans="1:6">
      <c r="A54" s="15">
        <v>43556</v>
      </c>
      <c r="B54" s="41">
        <v>2144</v>
      </c>
      <c r="C54" s="41">
        <v>5272</v>
      </c>
      <c r="D54" s="39">
        <f t="shared" si="0"/>
        <v>-3128</v>
      </c>
      <c r="E54" s="40">
        <f t="shared" si="1"/>
        <v>0.406676783004552</v>
      </c>
      <c r="F54" s="19" t="s">
        <v>8</v>
      </c>
    </row>
    <row r="55" customHeight="1" spans="1:6">
      <c r="A55" s="10">
        <v>43586</v>
      </c>
      <c r="B55" s="38">
        <v>2211</v>
      </c>
      <c r="C55" s="38">
        <v>5436.8</v>
      </c>
      <c r="D55" s="39">
        <f t="shared" si="0"/>
        <v>-3225.8</v>
      </c>
      <c r="E55" s="40">
        <f t="shared" si="1"/>
        <v>0.406673042966451</v>
      </c>
      <c r="F55" s="14" t="s">
        <v>8</v>
      </c>
    </row>
    <row r="56" customHeight="1" spans="1:6">
      <c r="A56" s="15">
        <v>43617</v>
      </c>
      <c r="B56" s="41">
        <v>2255.7</v>
      </c>
      <c r="C56" s="41">
        <v>5546.6</v>
      </c>
      <c r="D56" s="39">
        <f t="shared" si="0"/>
        <v>-3290.9</v>
      </c>
      <c r="E56" s="40">
        <f t="shared" si="1"/>
        <v>0.406681570691955</v>
      </c>
      <c r="F56" s="19" t="s">
        <v>8</v>
      </c>
    </row>
    <row r="57" customHeight="1" spans="1:6">
      <c r="A57" s="10">
        <v>43647</v>
      </c>
      <c r="B57" s="38">
        <v>2278</v>
      </c>
      <c r="C57" s="38">
        <v>5601.5</v>
      </c>
      <c r="D57" s="39">
        <f t="shared" si="0"/>
        <v>-3323.5</v>
      </c>
      <c r="E57" s="40">
        <f t="shared" si="1"/>
        <v>0.406676783004552</v>
      </c>
      <c r="F57" s="14" t="s">
        <v>8</v>
      </c>
    </row>
    <row r="58" customHeight="1" spans="1:6">
      <c r="A58" s="15">
        <v>43678</v>
      </c>
      <c r="B58" s="41">
        <v>2300.3</v>
      </c>
      <c r="C58" s="41">
        <v>5656.4</v>
      </c>
      <c r="D58" s="39">
        <f t="shared" si="0"/>
        <v>-3356.1</v>
      </c>
      <c r="E58" s="40">
        <f t="shared" si="1"/>
        <v>0.406672088254013</v>
      </c>
      <c r="F58" s="19" t="s">
        <v>8</v>
      </c>
    </row>
    <row r="59" customHeight="1" spans="1:6">
      <c r="A59" s="10">
        <v>43709</v>
      </c>
      <c r="B59" s="38">
        <v>2278</v>
      </c>
      <c r="C59" s="38">
        <v>5601.5</v>
      </c>
      <c r="D59" s="39">
        <f t="shared" si="0"/>
        <v>-3323.5</v>
      </c>
      <c r="E59" s="40">
        <f t="shared" si="1"/>
        <v>0.406676783004552</v>
      </c>
      <c r="F59" s="14" t="s">
        <v>8</v>
      </c>
    </row>
    <row r="60" customHeight="1" spans="1:6">
      <c r="A60" s="15">
        <v>43739</v>
      </c>
      <c r="B60" s="41">
        <v>2255.7</v>
      </c>
      <c r="C60" s="41">
        <v>5546.6</v>
      </c>
      <c r="D60" s="39">
        <f t="shared" si="0"/>
        <v>-3290.9</v>
      </c>
      <c r="E60" s="40">
        <f t="shared" si="1"/>
        <v>0.406681570691955</v>
      </c>
      <c r="F60" s="19" t="s">
        <v>8</v>
      </c>
    </row>
    <row r="61" customHeight="1" spans="1:6">
      <c r="A61" s="10">
        <v>43770</v>
      </c>
      <c r="B61" s="38">
        <v>2255.7</v>
      </c>
      <c r="C61" s="38">
        <v>5546.6</v>
      </c>
      <c r="D61" s="39">
        <f t="shared" si="0"/>
        <v>-3290.9</v>
      </c>
      <c r="E61" s="40">
        <f t="shared" si="1"/>
        <v>0.406681570691955</v>
      </c>
      <c r="F61" s="14" t="s">
        <v>8</v>
      </c>
    </row>
    <row r="62" customHeight="1" spans="1:6">
      <c r="A62" s="15">
        <v>43800</v>
      </c>
      <c r="B62" s="41">
        <v>2255.6</v>
      </c>
      <c r="C62" s="41">
        <v>5546.5</v>
      </c>
      <c r="D62" s="39">
        <f t="shared" si="0"/>
        <v>-3290.9</v>
      </c>
      <c r="E62" s="40">
        <f t="shared" si="1"/>
        <v>0.406670873523844</v>
      </c>
      <c r="F62" s="19" t="s">
        <v>8</v>
      </c>
    </row>
    <row r="63" customHeight="1" spans="1:6">
      <c r="A63" s="10">
        <v>43831</v>
      </c>
      <c r="B63" s="38">
        <v>1904</v>
      </c>
      <c r="C63" s="38">
        <v>4811</v>
      </c>
      <c r="D63" s="39">
        <f t="shared" si="0"/>
        <v>-2907</v>
      </c>
      <c r="E63" s="40">
        <f t="shared" si="1"/>
        <v>0.395759717314488</v>
      </c>
      <c r="F63" s="14" t="s">
        <v>8</v>
      </c>
    </row>
    <row r="64" customHeight="1" spans="1:6">
      <c r="A64" s="15">
        <v>43862</v>
      </c>
      <c r="B64" s="41">
        <v>1810.7</v>
      </c>
      <c r="C64" s="41">
        <v>4575.2</v>
      </c>
      <c r="D64" s="39">
        <f t="shared" si="0"/>
        <v>-2764.5</v>
      </c>
      <c r="E64" s="40">
        <f t="shared" si="1"/>
        <v>0.395764119601329</v>
      </c>
      <c r="F64" s="19" t="s">
        <v>8</v>
      </c>
    </row>
    <row r="65" customHeight="1" spans="1:6">
      <c r="A65" s="10">
        <v>43891</v>
      </c>
      <c r="B65" s="38">
        <v>1773.3</v>
      </c>
      <c r="C65" s="38">
        <v>4480.8</v>
      </c>
      <c r="D65" s="39">
        <f t="shared" si="0"/>
        <v>-2707.5</v>
      </c>
      <c r="E65" s="40">
        <f t="shared" si="1"/>
        <v>0.395755222281735</v>
      </c>
      <c r="F65" s="14" t="s">
        <v>8</v>
      </c>
    </row>
    <row r="66" customHeight="1" spans="1:6">
      <c r="A66" s="15">
        <v>43922</v>
      </c>
      <c r="B66" s="41">
        <v>1792</v>
      </c>
      <c r="C66" s="41">
        <v>4528</v>
      </c>
      <c r="D66" s="39">
        <f t="shared" si="0"/>
        <v>-2736</v>
      </c>
      <c r="E66" s="40">
        <f t="shared" si="1"/>
        <v>0.395759717314488</v>
      </c>
      <c r="F66" s="19" t="s">
        <v>8</v>
      </c>
    </row>
    <row r="67" customHeight="1" spans="1:6">
      <c r="A67" s="10">
        <v>43952</v>
      </c>
      <c r="B67" s="38">
        <v>1848</v>
      </c>
      <c r="C67" s="38">
        <v>4669.5</v>
      </c>
      <c r="D67" s="39">
        <f t="shared" si="0"/>
        <v>-2821.5</v>
      </c>
      <c r="E67" s="40">
        <f t="shared" si="1"/>
        <v>0.395759717314488</v>
      </c>
      <c r="F67" s="14" t="s">
        <v>8</v>
      </c>
    </row>
    <row r="68" customHeight="1" spans="1:6">
      <c r="A68" s="15">
        <v>43983</v>
      </c>
      <c r="B68" s="41">
        <v>1885.3</v>
      </c>
      <c r="C68" s="41">
        <v>4763.8</v>
      </c>
      <c r="D68" s="39">
        <f t="shared" ref="D68:D122" si="2">B68-C68</f>
        <v>-2878.5</v>
      </c>
      <c r="E68" s="40">
        <f t="shared" ref="E68:E122" si="3">B68/C68</f>
        <v>0.395755489315253</v>
      </c>
      <c r="F68" s="19" t="s">
        <v>8</v>
      </c>
    </row>
    <row r="69" customHeight="1" spans="1:6">
      <c r="A69" s="10">
        <v>44013</v>
      </c>
      <c r="B69" s="38">
        <v>1904</v>
      </c>
      <c r="C69" s="38">
        <v>4811</v>
      </c>
      <c r="D69" s="39">
        <f t="shared" si="2"/>
        <v>-2907</v>
      </c>
      <c r="E69" s="40">
        <f t="shared" si="3"/>
        <v>0.395759717314488</v>
      </c>
      <c r="F69" s="14" t="s">
        <v>8</v>
      </c>
    </row>
    <row r="70" customHeight="1" spans="1:6">
      <c r="A70" s="15">
        <v>44044</v>
      </c>
      <c r="B70" s="41">
        <v>1922.7</v>
      </c>
      <c r="C70" s="41">
        <v>4858.2</v>
      </c>
      <c r="D70" s="39">
        <f t="shared" si="2"/>
        <v>-2935.5</v>
      </c>
      <c r="E70" s="40">
        <f t="shared" si="3"/>
        <v>0.395763863159195</v>
      </c>
      <c r="F70" s="19" t="s">
        <v>8</v>
      </c>
    </row>
    <row r="71" customHeight="1" spans="1:6">
      <c r="A71" s="10">
        <v>44075</v>
      </c>
      <c r="B71" s="38">
        <v>1904</v>
      </c>
      <c r="C71" s="38">
        <v>4811</v>
      </c>
      <c r="D71" s="39">
        <f t="shared" si="2"/>
        <v>-2907</v>
      </c>
      <c r="E71" s="40">
        <f t="shared" si="3"/>
        <v>0.395759717314488</v>
      </c>
      <c r="F71" s="14" t="s">
        <v>8</v>
      </c>
    </row>
    <row r="72" customHeight="1" spans="1:6">
      <c r="A72" s="15">
        <v>44105</v>
      </c>
      <c r="B72" s="41">
        <v>1885.3</v>
      </c>
      <c r="C72" s="41">
        <v>4763.8</v>
      </c>
      <c r="D72" s="39">
        <f t="shared" si="2"/>
        <v>-2878.5</v>
      </c>
      <c r="E72" s="40">
        <f t="shared" si="3"/>
        <v>0.395755489315253</v>
      </c>
      <c r="F72" s="19" t="s">
        <v>8</v>
      </c>
    </row>
    <row r="73" customHeight="1" spans="1:6">
      <c r="A73" s="10">
        <v>44136</v>
      </c>
      <c r="B73" s="38">
        <v>1885.3</v>
      </c>
      <c r="C73" s="38">
        <v>4763.8</v>
      </c>
      <c r="D73" s="39">
        <f t="shared" si="2"/>
        <v>-2878.5</v>
      </c>
      <c r="E73" s="40">
        <f t="shared" si="3"/>
        <v>0.395755489315253</v>
      </c>
      <c r="F73" s="14" t="s">
        <v>8</v>
      </c>
    </row>
    <row r="74" customHeight="1" spans="1:6">
      <c r="A74" s="15">
        <v>44166</v>
      </c>
      <c r="B74" s="41">
        <v>1885.4</v>
      </c>
      <c r="C74" s="41">
        <v>4763.9</v>
      </c>
      <c r="D74" s="39">
        <f t="shared" si="2"/>
        <v>-2878.5</v>
      </c>
      <c r="E74" s="40">
        <f t="shared" si="3"/>
        <v>0.395768173135456</v>
      </c>
      <c r="F74" s="19" t="s">
        <v>8</v>
      </c>
    </row>
    <row r="75" customHeight="1" spans="1:6">
      <c r="A75" s="10">
        <v>44197</v>
      </c>
      <c r="B75" s="38">
        <v>2771</v>
      </c>
      <c r="C75" s="38">
        <v>6035</v>
      </c>
      <c r="D75" s="39">
        <f t="shared" si="2"/>
        <v>-3264</v>
      </c>
      <c r="E75" s="40">
        <f t="shared" si="3"/>
        <v>0.459154929577465</v>
      </c>
      <c r="F75" s="14" t="s">
        <v>8</v>
      </c>
    </row>
    <row r="76" customHeight="1" spans="1:6">
      <c r="A76" s="15">
        <v>44228</v>
      </c>
      <c r="B76" s="41">
        <v>2635.2</v>
      </c>
      <c r="C76" s="41">
        <v>5739.2</v>
      </c>
      <c r="D76" s="39">
        <f t="shared" si="2"/>
        <v>-3104</v>
      </c>
      <c r="E76" s="40">
        <f t="shared" si="3"/>
        <v>0.459158070811263</v>
      </c>
      <c r="F76" s="19" t="s">
        <v>8</v>
      </c>
    </row>
    <row r="77" customHeight="1" spans="1:6">
      <c r="A77" s="10">
        <v>44256</v>
      </c>
      <c r="B77" s="38">
        <v>2580.8</v>
      </c>
      <c r="C77" s="38">
        <v>5620.8</v>
      </c>
      <c r="D77" s="39">
        <f t="shared" si="2"/>
        <v>-3040</v>
      </c>
      <c r="E77" s="40">
        <f t="shared" si="3"/>
        <v>0.459151722174779</v>
      </c>
      <c r="F77" s="14" t="s">
        <v>8</v>
      </c>
    </row>
    <row r="78" customHeight="1" spans="1:6">
      <c r="A78" s="15">
        <v>44287</v>
      </c>
      <c r="B78" s="41">
        <v>2608</v>
      </c>
      <c r="C78" s="41">
        <v>5680</v>
      </c>
      <c r="D78" s="39">
        <f t="shared" si="2"/>
        <v>-3072</v>
      </c>
      <c r="E78" s="40">
        <f t="shared" si="3"/>
        <v>0.459154929577465</v>
      </c>
      <c r="F78" s="19" t="s">
        <v>8</v>
      </c>
    </row>
    <row r="79" customHeight="1" spans="1:6">
      <c r="A79" s="10">
        <v>44317</v>
      </c>
      <c r="B79" s="38">
        <v>2689.5</v>
      </c>
      <c r="C79" s="38">
        <v>5857.5</v>
      </c>
      <c r="D79" s="39">
        <f t="shared" si="2"/>
        <v>-3168</v>
      </c>
      <c r="E79" s="40">
        <f t="shared" si="3"/>
        <v>0.459154929577465</v>
      </c>
      <c r="F79" s="14" t="s">
        <v>8</v>
      </c>
    </row>
    <row r="80" customHeight="1" spans="1:6">
      <c r="A80" s="15">
        <v>44348</v>
      </c>
      <c r="B80" s="41">
        <v>2743.8</v>
      </c>
      <c r="C80" s="41">
        <v>5975.8</v>
      </c>
      <c r="D80" s="39">
        <f t="shared" si="2"/>
        <v>-3232</v>
      </c>
      <c r="E80" s="40">
        <f t="shared" si="3"/>
        <v>0.459151912714616</v>
      </c>
      <c r="F80" s="19" t="s">
        <v>8</v>
      </c>
    </row>
    <row r="81" customHeight="1" spans="1:6">
      <c r="A81" s="10">
        <v>44378</v>
      </c>
      <c r="B81" s="38">
        <v>2771</v>
      </c>
      <c r="C81" s="38">
        <v>6035</v>
      </c>
      <c r="D81" s="39">
        <f t="shared" si="2"/>
        <v>-3264</v>
      </c>
      <c r="E81" s="40">
        <f t="shared" si="3"/>
        <v>0.459154929577465</v>
      </c>
      <c r="F81" s="14" t="s">
        <v>8</v>
      </c>
    </row>
    <row r="82" customHeight="1" spans="1:6">
      <c r="A82" s="15">
        <v>44409</v>
      </c>
      <c r="B82" s="41">
        <v>2798.2</v>
      </c>
      <c r="C82" s="41">
        <v>6094.2</v>
      </c>
      <c r="D82" s="39">
        <f t="shared" si="2"/>
        <v>-3296</v>
      </c>
      <c r="E82" s="40">
        <f t="shared" si="3"/>
        <v>0.459157887827771</v>
      </c>
      <c r="F82" s="19" t="s">
        <v>8</v>
      </c>
    </row>
    <row r="83" customHeight="1" spans="1:6">
      <c r="A83" s="10">
        <v>44440</v>
      </c>
      <c r="B83" s="38">
        <v>2771</v>
      </c>
      <c r="C83" s="38">
        <v>6035</v>
      </c>
      <c r="D83" s="39">
        <f t="shared" si="2"/>
        <v>-3264</v>
      </c>
      <c r="E83" s="40">
        <f t="shared" si="3"/>
        <v>0.459154929577465</v>
      </c>
      <c r="F83" s="14" t="s">
        <v>8</v>
      </c>
    </row>
    <row r="84" customHeight="1" spans="1:6">
      <c r="A84" s="15">
        <v>44470</v>
      </c>
      <c r="B84" s="41">
        <v>2743.8</v>
      </c>
      <c r="C84" s="41">
        <v>5975.8</v>
      </c>
      <c r="D84" s="39">
        <f t="shared" si="2"/>
        <v>-3232</v>
      </c>
      <c r="E84" s="40">
        <f t="shared" si="3"/>
        <v>0.459151912714616</v>
      </c>
      <c r="F84" s="19" t="s">
        <v>8</v>
      </c>
    </row>
    <row r="85" customHeight="1" spans="1:6">
      <c r="A85" s="10">
        <v>44501</v>
      </c>
      <c r="B85" s="38">
        <v>2743.8</v>
      </c>
      <c r="C85" s="38">
        <v>5975.8</v>
      </c>
      <c r="D85" s="39">
        <f t="shared" si="2"/>
        <v>-3232</v>
      </c>
      <c r="E85" s="40">
        <f t="shared" si="3"/>
        <v>0.459151912714616</v>
      </c>
      <c r="F85" s="14" t="s">
        <v>8</v>
      </c>
    </row>
    <row r="86" customHeight="1" spans="1:6">
      <c r="A86" s="15">
        <v>44531</v>
      </c>
      <c r="B86" s="41">
        <v>2743.9</v>
      </c>
      <c r="C86" s="41">
        <v>5975.9</v>
      </c>
      <c r="D86" s="39">
        <f t="shared" si="2"/>
        <v>-3232</v>
      </c>
      <c r="E86" s="40">
        <f t="shared" si="3"/>
        <v>0.459160963202196</v>
      </c>
      <c r="F86" s="19" t="s">
        <v>8</v>
      </c>
    </row>
    <row r="87" customHeight="1" spans="1:6">
      <c r="A87" s="10">
        <v>44562</v>
      </c>
      <c r="B87" s="38">
        <v>4411.5</v>
      </c>
      <c r="C87" s="38">
        <v>7590.5</v>
      </c>
      <c r="D87" s="39">
        <f t="shared" si="2"/>
        <v>-3179</v>
      </c>
      <c r="E87" s="40">
        <f t="shared" si="3"/>
        <v>0.581187010078387</v>
      </c>
      <c r="F87" s="14" t="s">
        <v>8</v>
      </c>
    </row>
    <row r="88" customHeight="1" spans="1:6">
      <c r="A88" s="15">
        <v>44593</v>
      </c>
      <c r="B88" s="41">
        <v>4195.2</v>
      </c>
      <c r="C88" s="41">
        <v>7218.4</v>
      </c>
      <c r="D88" s="39">
        <f t="shared" si="2"/>
        <v>-3023.2</v>
      </c>
      <c r="E88" s="40">
        <f t="shared" si="3"/>
        <v>0.581181425246592</v>
      </c>
      <c r="F88" s="19" t="s">
        <v>8</v>
      </c>
    </row>
    <row r="89" customHeight="1" spans="1:6">
      <c r="A89" s="10">
        <v>44621</v>
      </c>
      <c r="B89" s="38">
        <v>4108.8</v>
      </c>
      <c r="C89" s="38">
        <v>7069.6</v>
      </c>
      <c r="D89" s="39">
        <f t="shared" si="2"/>
        <v>-2960.8</v>
      </c>
      <c r="E89" s="40">
        <f t="shared" si="3"/>
        <v>0.581192712458979</v>
      </c>
      <c r="F89" s="14" t="s">
        <v>8</v>
      </c>
    </row>
    <row r="90" customHeight="1" spans="1:6">
      <c r="A90" s="15">
        <v>44652</v>
      </c>
      <c r="B90" s="41">
        <v>4152</v>
      </c>
      <c r="C90" s="41">
        <v>7144</v>
      </c>
      <c r="D90" s="39">
        <f t="shared" si="2"/>
        <v>-2992</v>
      </c>
      <c r="E90" s="40">
        <f t="shared" si="3"/>
        <v>0.581187010078387</v>
      </c>
      <c r="F90" s="19" t="s">
        <v>8</v>
      </c>
    </row>
    <row r="91" customHeight="1" spans="1:6">
      <c r="A91" s="10">
        <v>44682</v>
      </c>
      <c r="B91" s="38">
        <v>4281.8</v>
      </c>
      <c r="C91" s="38">
        <v>7367.2</v>
      </c>
      <c r="D91" s="39">
        <f t="shared" si="2"/>
        <v>-3085.4</v>
      </c>
      <c r="E91" s="51">
        <f t="shared" si="3"/>
        <v>0.581197741339994</v>
      </c>
      <c r="F91" s="14" t="s">
        <v>8</v>
      </c>
    </row>
    <row r="92" customHeight="1" spans="1:6">
      <c r="A92" s="15">
        <v>44713</v>
      </c>
      <c r="B92" s="41">
        <v>4368.2</v>
      </c>
      <c r="C92" s="41">
        <v>7516.1</v>
      </c>
      <c r="D92" s="39">
        <f t="shared" si="2"/>
        <v>-3147.9</v>
      </c>
      <c r="E92" s="40">
        <f t="shared" si="3"/>
        <v>0.581179068932026</v>
      </c>
      <c r="F92" s="19" t="s">
        <v>8</v>
      </c>
    </row>
    <row r="93" customHeight="1" spans="1:6">
      <c r="A93" s="10">
        <v>44743</v>
      </c>
      <c r="B93" s="38">
        <v>4411.5</v>
      </c>
      <c r="C93" s="38">
        <v>7590.5</v>
      </c>
      <c r="D93" s="39">
        <f t="shared" si="2"/>
        <v>-3179</v>
      </c>
      <c r="E93" s="40">
        <f t="shared" si="3"/>
        <v>0.581187010078387</v>
      </c>
      <c r="F93" s="14" t="s">
        <v>8</v>
      </c>
    </row>
    <row r="94" customHeight="1" spans="1:6">
      <c r="A94" s="15">
        <v>44774</v>
      </c>
      <c r="B94" s="52">
        <v>4454.8</v>
      </c>
      <c r="C94" s="41">
        <v>7664.9</v>
      </c>
      <c r="D94" s="39">
        <f t="shared" si="2"/>
        <v>-3210.1</v>
      </c>
      <c r="E94" s="40">
        <f t="shared" si="3"/>
        <v>0.581194797061932</v>
      </c>
      <c r="F94" s="19" t="s">
        <v>8</v>
      </c>
    </row>
    <row r="95" customHeight="1" spans="1:6">
      <c r="A95" s="10">
        <v>44805</v>
      </c>
      <c r="B95" s="38">
        <v>4411.5</v>
      </c>
      <c r="C95" s="38">
        <v>7590.5</v>
      </c>
      <c r="D95" s="39">
        <f t="shared" si="2"/>
        <v>-3179</v>
      </c>
      <c r="E95" s="40">
        <f t="shared" si="3"/>
        <v>0.581187010078387</v>
      </c>
      <c r="F95" s="14" t="s">
        <v>8</v>
      </c>
    </row>
    <row r="96" customHeight="1" spans="1:6">
      <c r="A96" s="15">
        <v>44835</v>
      </c>
      <c r="B96" s="41">
        <v>4368.2</v>
      </c>
      <c r="C96" s="41">
        <v>7516.1</v>
      </c>
      <c r="D96" s="39">
        <f t="shared" si="2"/>
        <v>-3147.9</v>
      </c>
      <c r="E96" s="40">
        <f t="shared" si="3"/>
        <v>0.581179068932026</v>
      </c>
      <c r="F96" s="19" t="s">
        <v>8</v>
      </c>
    </row>
    <row r="97" customHeight="1" spans="1:6">
      <c r="A97" s="10">
        <v>44866</v>
      </c>
      <c r="B97" s="38">
        <v>4368.2</v>
      </c>
      <c r="C97" s="38">
        <v>7516.1</v>
      </c>
      <c r="D97" s="39">
        <f t="shared" si="2"/>
        <v>-3147.9</v>
      </c>
      <c r="E97" s="40">
        <f t="shared" si="3"/>
        <v>0.581179068932026</v>
      </c>
      <c r="F97" s="14" t="s">
        <v>8</v>
      </c>
    </row>
    <row r="98" customHeight="1" spans="1:6">
      <c r="A98" s="15">
        <v>44896</v>
      </c>
      <c r="B98" s="41">
        <v>4368.3</v>
      </c>
      <c r="C98" s="41">
        <v>7516.1</v>
      </c>
      <c r="D98" s="39">
        <f t="shared" si="2"/>
        <v>-3147.8</v>
      </c>
      <c r="E98" s="40">
        <f t="shared" si="3"/>
        <v>0.581192373704448</v>
      </c>
      <c r="F98" s="19" t="s">
        <v>8</v>
      </c>
    </row>
    <row r="99" customHeight="1" spans="1:6">
      <c r="A99" s="10">
        <v>44927</v>
      </c>
      <c r="B99" s="38">
        <v>3621</v>
      </c>
      <c r="C99" s="38">
        <v>7157</v>
      </c>
      <c r="D99" s="39">
        <f t="shared" si="2"/>
        <v>-3536</v>
      </c>
      <c r="E99" s="40">
        <f t="shared" si="3"/>
        <v>0.505938242280285</v>
      </c>
      <c r="F99" s="14" t="s">
        <v>8</v>
      </c>
    </row>
    <row r="100" customHeight="1" spans="1:6">
      <c r="A100" s="15">
        <v>44958</v>
      </c>
      <c r="B100" s="41">
        <v>3443.5</v>
      </c>
      <c r="C100" s="41">
        <v>6806.2</v>
      </c>
      <c r="D100" s="39">
        <f t="shared" si="2"/>
        <v>-3362.7</v>
      </c>
      <c r="E100" s="40">
        <f t="shared" si="3"/>
        <v>0.50593576445006</v>
      </c>
      <c r="F100" s="19" t="s">
        <v>8</v>
      </c>
    </row>
    <row r="101" customHeight="1" spans="1:6">
      <c r="A101" s="10">
        <v>44986</v>
      </c>
      <c r="B101" s="38">
        <v>3372.5</v>
      </c>
      <c r="C101" s="38">
        <v>6665.8</v>
      </c>
      <c r="D101" s="39">
        <f t="shared" si="2"/>
        <v>-3293.3</v>
      </c>
      <c r="E101" s="40">
        <f t="shared" si="3"/>
        <v>0.505940772300399</v>
      </c>
      <c r="F101" s="14" t="s">
        <v>8</v>
      </c>
    </row>
    <row r="102" customHeight="1" spans="1:6">
      <c r="A102" s="15">
        <v>45017</v>
      </c>
      <c r="B102" s="41">
        <v>3408</v>
      </c>
      <c r="C102" s="41">
        <v>6736</v>
      </c>
      <c r="D102" s="39">
        <f t="shared" si="2"/>
        <v>-3328</v>
      </c>
      <c r="E102" s="40">
        <f t="shared" si="3"/>
        <v>0.505938242280285</v>
      </c>
      <c r="F102" s="19" t="s">
        <v>8</v>
      </c>
    </row>
    <row r="103" customHeight="1" spans="1:6">
      <c r="A103" s="10">
        <v>45047</v>
      </c>
      <c r="B103" s="38">
        <v>3514.5</v>
      </c>
      <c r="C103" s="38">
        <v>6946.5</v>
      </c>
      <c r="D103" s="39">
        <f t="shared" si="2"/>
        <v>-3432</v>
      </c>
      <c r="E103" s="40">
        <f t="shared" si="3"/>
        <v>0.505938242280285</v>
      </c>
      <c r="F103" s="14" t="s">
        <v>8</v>
      </c>
    </row>
    <row r="104" customHeight="1" spans="1:6">
      <c r="A104" s="15">
        <v>45078</v>
      </c>
      <c r="B104" s="41">
        <v>3585.5</v>
      </c>
      <c r="C104" s="41">
        <v>7086.8</v>
      </c>
      <c r="D104" s="39">
        <f t="shared" si="2"/>
        <v>-3501.3</v>
      </c>
      <c r="E104" s="40">
        <f t="shared" si="3"/>
        <v>0.505940622001467</v>
      </c>
      <c r="F104" s="19" t="s">
        <v>8</v>
      </c>
    </row>
    <row r="105" customHeight="1" spans="1:6">
      <c r="A105" s="10">
        <v>45108</v>
      </c>
      <c r="B105" s="38">
        <v>3621</v>
      </c>
      <c r="C105" s="38">
        <v>7157</v>
      </c>
      <c r="D105" s="39">
        <f t="shared" si="2"/>
        <v>-3536</v>
      </c>
      <c r="E105" s="40">
        <f t="shared" si="3"/>
        <v>0.505938242280285</v>
      </c>
      <c r="F105" s="14" t="s">
        <v>8</v>
      </c>
    </row>
    <row r="106" customHeight="1" spans="1:6">
      <c r="A106" s="15">
        <v>45139</v>
      </c>
      <c r="B106" s="41">
        <v>3656.5</v>
      </c>
      <c r="C106" s="41">
        <v>7227.2</v>
      </c>
      <c r="D106" s="39">
        <f t="shared" si="2"/>
        <v>-3570.7</v>
      </c>
      <c r="E106" s="40">
        <f t="shared" si="3"/>
        <v>0.505935908789019</v>
      </c>
      <c r="F106" s="19" t="s">
        <v>8</v>
      </c>
    </row>
    <row r="107" customHeight="1" spans="1:6">
      <c r="A107" s="10">
        <v>45170</v>
      </c>
      <c r="B107" s="38">
        <v>3621</v>
      </c>
      <c r="C107" s="38">
        <v>7157</v>
      </c>
      <c r="D107" s="39">
        <f t="shared" si="2"/>
        <v>-3536</v>
      </c>
      <c r="E107" s="40">
        <f t="shared" si="3"/>
        <v>0.505938242280285</v>
      </c>
      <c r="F107" s="14" t="s">
        <v>8</v>
      </c>
    </row>
    <row r="108" customHeight="1" spans="1:6">
      <c r="A108" s="15">
        <v>45200</v>
      </c>
      <c r="B108" s="41">
        <v>3585.5</v>
      </c>
      <c r="C108" s="41">
        <v>7086.8</v>
      </c>
      <c r="D108" s="39">
        <f t="shared" si="2"/>
        <v>-3501.3</v>
      </c>
      <c r="E108" s="40">
        <f t="shared" si="3"/>
        <v>0.505940622001467</v>
      </c>
      <c r="F108" s="19" t="s">
        <v>8</v>
      </c>
    </row>
    <row r="109" customHeight="1" spans="1:6">
      <c r="A109" s="10">
        <v>45231</v>
      </c>
      <c r="B109" s="38">
        <v>3585.5</v>
      </c>
      <c r="C109" s="38">
        <v>7086.8</v>
      </c>
      <c r="D109" s="39">
        <f t="shared" si="2"/>
        <v>-3501.3</v>
      </c>
      <c r="E109" s="40">
        <f t="shared" si="3"/>
        <v>0.505940622001467</v>
      </c>
      <c r="F109" s="14" t="s">
        <v>8</v>
      </c>
    </row>
    <row r="110" customHeight="1" spans="1:6">
      <c r="A110" s="15">
        <v>45261</v>
      </c>
      <c r="B110" s="41">
        <v>3585.5</v>
      </c>
      <c r="C110" s="41">
        <v>7086.9</v>
      </c>
      <c r="D110" s="39">
        <f t="shared" si="2"/>
        <v>-3501.4</v>
      </c>
      <c r="E110" s="40">
        <f t="shared" si="3"/>
        <v>0.505933482905078</v>
      </c>
      <c r="F110" s="19" t="s">
        <v>8</v>
      </c>
    </row>
    <row r="111" customHeight="1" spans="1:6">
      <c r="A111" s="10">
        <v>45292</v>
      </c>
      <c r="B111" s="38">
        <v>3850.5</v>
      </c>
      <c r="C111" s="38">
        <v>8100.5</v>
      </c>
      <c r="D111" s="39">
        <f t="shared" si="2"/>
        <v>-4250</v>
      </c>
      <c r="E111" s="40">
        <f t="shared" si="3"/>
        <v>0.475341028331584</v>
      </c>
      <c r="F111" s="14" t="s">
        <v>8</v>
      </c>
    </row>
    <row r="112" customHeight="1" spans="1:6">
      <c r="A112" s="15">
        <v>45323</v>
      </c>
      <c r="B112" s="41">
        <v>3661.8</v>
      </c>
      <c r="C112" s="41">
        <v>7703.4</v>
      </c>
      <c r="D112" s="39">
        <f t="shared" si="2"/>
        <v>-4041.6</v>
      </c>
      <c r="E112" s="40">
        <f t="shared" si="3"/>
        <v>0.475348547394657</v>
      </c>
      <c r="F112" s="19" t="s">
        <v>8</v>
      </c>
    </row>
    <row r="113" customHeight="1" spans="1:7">
      <c r="A113" s="10">
        <v>45352</v>
      </c>
      <c r="B113" s="38">
        <v>3586.2</v>
      </c>
      <c r="C113" s="38">
        <v>7544.6</v>
      </c>
      <c r="D113" s="39">
        <f t="shared" si="2"/>
        <v>-3958.4</v>
      </c>
      <c r="E113" s="40">
        <f t="shared" si="3"/>
        <v>0.475333351006017</v>
      </c>
      <c r="F113" s="14" t="s">
        <v>8</v>
      </c>
    </row>
    <row r="114" customHeight="1" spans="1:7">
      <c r="A114" s="15">
        <v>45383</v>
      </c>
      <c r="B114" s="41">
        <v>3624</v>
      </c>
      <c r="C114" s="41">
        <v>7624</v>
      </c>
      <c r="D114" s="39">
        <f t="shared" si="2"/>
        <v>-4000</v>
      </c>
      <c r="E114" s="40">
        <f t="shared" si="3"/>
        <v>0.475341028331584</v>
      </c>
      <c r="F114" s="19" t="s">
        <v>8</v>
      </c>
    </row>
    <row r="115" customHeight="1" spans="1:7">
      <c r="A115" s="10">
        <v>45413</v>
      </c>
      <c r="B115" s="38">
        <v>3737.2</v>
      </c>
      <c r="C115" s="38">
        <v>7862.2</v>
      </c>
      <c r="D115" s="39">
        <f t="shared" si="2"/>
        <v>-4125</v>
      </c>
      <c r="E115" s="40">
        <f t="shared" si="3"/>
        <v>0.475337691740225</v>
      </c>
      <c r="F115" s="14" t="s">
        <v>8</v>
      </c>
    </row>
    <row r="116" customHeight="1" spans="1:7">
      <c r="A116" s="15">
        <v>45444</v>
      </c>
      <c r="B116" s="41">
        <v>3812.8</v>
      </c>
      <c r="C116" s="41">
        <v>8021.1</v>
      </c>
      <c r="D116" s="39">
        <f t="shared" si="2"/>
        <v>-4208.3</v>
      </c>
      <c r="E116" s="40">
        <f t="shared" si="3"/>
        <v>0.475346274201793</v>
      </c>
      <c r="F116" s="19" t="s">
        <v>8</v>
      </c>
    </row>
    <row r="117" customHeight="1" spans="1:7">
      <c r="A117" s="10">
        <v>45474</v>
      </c>
      <c r="B117" s="38">
        <v>3850.5</v>
      </c>
      <c r="C117" s="38">
        <v>8100.5</v>
      </c>
      <c r="D117" s="39">
        <f t="shared" si="2"/>
        <v>-4250</v>
      </c>
      <c r="E117" s="40">
        <f t="shared" si="3"/>
        <v>0.475341028331584</v>
      </c>
      <c r="F117" s="14" t="s">
        <v>8</v>
      </c>
    </row>
    <row r="118" customHeight="1" spans="1:7">
      <c r="A118" s="15">
        <v>45505</v>
      </c>
      <c r="B118" s="41">
        <v>3888.2</v>
      </c>
      <c r="C118" s="52">
        <v>8179.9</v>
      </c>
      <c r="D118" s="53">
        <f t="shared" si="2"/>
        <v>-4291.7</v>
      </c>
      <c r="E118" s="40">
        <f t="shared" si="3"/>
        <v>0.475335884301764</v>
      </c>
      <c r="F118" s="19" t="s">
        <v>8</v>
      </c>
    </row>
    <row r="119" customHeight="1" spans="1:7">
      <c r="A119" s="10">
        <v>45536</v>
      </c>
      <c r="B119" s="38">
        <v>3850.5</v>
      </c>
      <c r="C119" s="38">
        <v>8100.5</v>
      </c>
      <c r="D119" s="39">
        <f t="shared" si="2"/>
        <v>-4250</v>
      </c>
      <c r="E119" s="40">
        <f t="shared" si="3"/>
        <v>0.475341028331584</v>
      </c>
      <c r="F119" s="14" t="s">
        <v>8</v>
      </c>
    </row>
    <row r="120" customHeight="1" spans="1:7">
      <c r="A120" s="15">
        <v>45566</v>
      </c>
      <c r="B120" s="41">
        <v>3812.8</v>
      </c>
      <c r="C120" s="41">
        <v>8021.1</v>
      </c>
      <c r="D120" s="39">
        <f t="shared" si="2"/>
        <v>-4208.3</v>
      </c>
      <c r="E120" s="40">
        <f t="shared" si="3"/>
        <v>0.475346274201793</v>
      </c>
      <c r="F120" s="19" t="s">
        <v>8</v>
      </c>
    </row>
    <row r="121" customHeight="1" spans="1:7">
      <c r="A121" s="10">
        <v>45597</v>
      </c>
      <c r="B121" s="38">
        <v>3812.8</v>
      </c>
      <c r="C121" s="38">
        <v>8021.1</v>
      </c>
      <c r="D121" s="39">
        <f t="shared" si="2"/>
        <v>-4208.3</v>
      </c>
      <c r="E121" s="40">
        <f t="shared" si="3"/>
        <v>0.475346274201793</v>
      </c>
      <c r="F121" s="14" t="s">
        <v>8</v>
      </c>
    </row>
    <row r="122" customHeight="1" spans="1:7">
      <c r="A122" s="20">
        <v>45627</v>
      </c>
      <c r="B122" s="42">
        <v>3812.7</v>
      </c>
      <c r="C122" s="42">
        <v>8021.1</v>
      </c>
      <c r="D122" s="43">
        <f t="shared" si="2"/>
        <v>-4208.4</v>
      </c>
      <c r="E122" s="44">
        <f t="shared" si="3"/>
        <v>0.475333807083816</v>
      </c>
      <c r="F122" s="24" t="s">
        <v>8</v>
      </c>
    </row>
    <row r="123" customHeight="1" spans="1:7">
      <c r="A123" s="54"/>
      <c r="B123" s="54"/>
      <c r="C123" s="54"/>
      <c r="D123" s="54"/>
      <c r="E123" s="54"/>
      <c r="F123" s="54"/>
      <c r="G123" s="54"/>
    </row>
  </sheetData>
  <mergeCells count="2">
    <mergeCell ref="A1:F1"/>
    <mergeCell ref="A123:G123"/>
  </mergeCells>
  <conditionalFormatting sqref="D3:D122">
    <cfRule type="cellIs" dxfId="13" priority="1" operator="greaterThan">
      <formula>0</formula>
    </cfRule>
    <cfRule type="cellIs" dxfId="14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2"/>
  <sheetViews>
    <sheetView showGridLines="0" zoomScale="110" zoomScaleNormal="110" workbookViewId="0">
      <pane ySplit="2" topLeftCell="A3" activePane="bottomLeft" state="frozen"/>
      <selection/>
      <selection pane="bottomLeft" activeCell="H133" sqref="H133"/>
    </sheetView>
  </sheetViews>
  <sheetFormatPr defaultColWidth="8.71428571428571" defaultRowHeight="15" outlineLevelCol="5"/>
  <cols>
    <col min="1" max="1" width="12" customWidth="1"/>
    <col min="2" max="3" width="18" customWidth="1"/>
    <col min="4" max="4" width="22" customWidth="1"/>
    <col min="5" max="5" width="18" customWidth="1"/>
    <col min="6" max="6" width="14" customWidth="1"/>
  </cols>
  <sheetData>
    <row r="1" ht="27.75" customHeight="1" spans="1:6">
      <c r="A1" s="1" t="s">
        <v>15</v>
      </c>
      <c r="B1" s="1"/>
      <c r="C1" s="1"/>
      <c r="D1" s="1"/>
      <c r="E1" s="1"/>
      <c r="F1" s="1"/>
    </row>
    <row r="2" ht="36" customHeight="1" spans="1:6">
      <c r="A2" s="7" t="s">
        <v>1</v>
      </c>
      <c r="B2" s="8" t="s">
        <v>16</v>
      </c>
      <c r="C2" s="8" t="s">
        <v>17</v>
      </c>
      <c r="D2" s="8" t="s">
        <v>18</v>
      </c>
      <c r="E2" s="8" t="s">
        <v>19</v>
      </c>
      <c r="F2" s="9" t="s">
        <v>6</v>
      </c>
    </row>
    <row r="3" customHeight="1" spans="1:6">
      <c r="A3" s="10">
        <v>42005</v>
      </c>
      <c r="B3" s="11">
        <v>7.63</v>
      </c>
      <c r="C3" s="12">
        <v>10.1</v>
      </c>
      <c r="D3" s="13">
        <v>15.3</v>
      </c>
      <c r="E3" s="13">
        <v>47.8</v>
      </c>
      <c r="F3" s="14" t="s">
        <v>9</v>
      </c>
    </row>
    <row r="4" customHeight="1" spans="1:6">
      <c r="A4" s="15">
        <v>42036</v>
      </c>
      <c r="B4" s="16">
        <v>7.63</v>
      </c>
      <c r="C4" s="17">
        <v>11.2</v>
      </c>
      <c r="D4" s="18">
        <v>15.1</v>
      </c>
      <c r="E4" s="18">
        <v>57.9</v>
      </c>
      <c r="F4" s="19" t="s">
        <v>9</v>
      </c>
    </row>
    <row r="5" customHeight="1" spans="1:6">
      <c r="A5" s="10">
        <v>42064</v>
      </c>
      <c r="B5" s="11">
        <v>7.62</v>
      </c>
      <c r="C5" s="12">
        <v>11.8</v>
      </c>
      <c r="D5" s="13">
        <v>20.1</v>
      </c>
      <c r="E5" s="13">
        <v>55.9</v>
      </c>
      <c r="F5" s="14" t="s">
        <v>9</v>
      </c>
    </row>
    <row r="6" customHeight="1" spans="1:6">
      <c r="A6" s="15">
        <v>42095</v>
      </c>
      <c r="B6" s="16">
        <v>7.62</v>
      </c>
      <c r="C6" s="17">
        <v>11.1</v>
      </c>
      <c r="D6" s="18">
        <v>20.5</v>
      </c>
      <c r="E6" s="18">
        <v>59.6</v>
      </c>
      <c r="F6" s="19" t="s">
        <v>9</v>
      </c>
    </row>
    <row r="7" customHeight="1" spans="1:6">
      <c r="A7" s="10">
        <v>42125</v>
      </c>
      <c r="B7" s="11">
        <v>7.62</v>
      </c>
      <c r="C7" s="12">
        <v>11.5</v>
      </c>
      <c r="D7" s="13">
        <v>20.5</v>
      </c>
      <c r="E7" s="13">
        <v>64.2</v>
      </c>
      <c r="F7" s="14" t="s">
        <v>9</v>
      </c>
    </row>
    <row r="8" customHeight="1" spans="1:6">
      <c r="A8" s="15">
        <v>42156</v>
      </c>
      <c r="B8" s="16">
        <v>7.62</v>
      </c>
      <c r="C8" s="17">
        <v>11.4</v>
      </c>
      <c r="D8" s="18">
        <v>20.1</v>
      </c>
      <c r="E8" s="18">
        <v>62</v>
      </c>
      <c r="F8" s="19" t="s">
        <v>9</v>
      </c>
    </row>
    <row r="9" customHeight="1" spans="1:6">
      <c r="A9" s="10">
        <v>42186</v>
      </c>
      <c r="B9" s="11">
        <v>7.83</v>
      </c>
      <c r="C9" s="12">
        <v>11.1</v>
      </c>
      <c r="D9" s="13">
        <v>20.1</v>
      </c>
      <c r="E9" s="13">
        <v>56.6</v>
      </c>
      <c r="F9" s="14" t="s">
        <v>9</v>
      </c>
    </row>
    <row r="10" customHeight="1" spans="1:6">
      <c r="A10" s="15">
        <v>42217</v>
      </c>
      <c r="B10" s="16">
        <v>7.83</v>
      </c>
      <c r="C10" s="17">
        <v>9.8</v>
      </c>
      <c r="D10" s="18">
        <v>16.4</v>
      </c>
      <c r="E10" s="18">
        <v>46.6</v>
      </c>
      <c r="F10" s="19" t="s">
        <v>9</v>
      </c>
    </row>
    <row r="11" customHeight="1" spans="1:6">
      <c r="A11" s="10">
        <v>42248</v>
      </c>
      <c r="B11" s="11">
        <v>7.88</v>
      </c>
      <c r="C11" s="12">
        <v>9.2</v>
      </c>
      <c r="D11" s="13">
        <v>16.3</v>
      </c>
      <c r="E11" s="13">
        <v>47.5</v>
      </c>
      <c r="F11" s="14" t="s">
        <v>9</v>
      </c>
    </row>
    <row r="12" customHeight="1" spans="1:6">
      <c r="A12" s="15">
        <v>42278</v>
      </c>
      <c r="B12" s="16">
        <v>7.91</v>
      </c>
      <c r="C12" s="17">
        <v>9.1</v>
      </c>
      <c r="D12" s="18">
        <v>16.4</v>
      </c>
      <c r="E12" s="18">
        <v>48.4</v>
      </c>
      <c r="F12" s="19" t="s">
        <v>9</v>
      </c>
    </row>
    <row r="13" customHeight="1" spans="1:6">
      <c r="A13" s="10">
        <v>42309</v>
      </c>
      <c r="B13" s="11">
        <v>7.93</v>
      </c>
      <c r="C13" s="12">
        <v>9.3</v>
      </c>
      <c r="D13" s="13">
        <v>15.9</v>
      </c>
      <c r="E13" s="13">
        <v>44.4</v>
      </c>
      <c r="F13" s="14" t="s">
        <v>9</v>
      </c>
    </row>
    <row r="14" customHeight="1" spans="1:6">
      <c r="A14" s="15">
        <v>42339</v>
      </c>
      <c r="B14" s="16">
        <v>7.83</v>
      </c>
      <c r="C14" s="17">
        <v>11</v>
      </c>
      <c r="D14" s="18">
        <v>15.5</v>
      </c>
      <c r="E14" s="18">
        <v>38</v>
      </c>
      <c r="F14" s="19" t="s">
        <v>9</v>
      </c>
    </row>
    <row r="15" customHeight="1" spans="1:6">
      <c r="A15" s="10">
        <v>42370</v>
      </c>
      <c r="B15" s="11">
        <v>7.83</v>
      </c>
      <c r="C15" s="12">
        <v>10.1</v>
      </c>
      <c r="D15" s="13">
        <v>14.6</v>
      </c>
      <c r="E15" s="13">
        <v>30.7</v>
      </c>
      <c r="F15" s="14" t="s">
        <v>9</v>
      </c>
    </row>
    <row r="16" customHeight="1" spans="1:6">
      <c r="A16" s="15">
        <v>42401</v>
      </c>
      <c r="B16" s="16">
        <v>8.03</v>
      </c>
      <c r="C16" s="17">
        <v>9.1</v>
      </c>
      <c r="D16" s="18">
        <v>14.2</v>
      </c>
      <c r="E16" s="18">
        <v>32.2</v>
      </c>
      <c r="F16" s="19" t="s">
        <v>9</v>
      </c>
    </row>
    <row r="17" customHeight="1" spans="1:6">
      <c r="A17" s="10">
        <v>42430</v>
      </c>
      <c r="B17" s="11">
        <v>8.88</v>
      </c>
      <c r="C17" s="12">
        <v>9</v>
      </c>
      <c r="D17" s="13">
        <v>15</v>
      </c>
      <c r="E17" s="13">
        <v>38</v>
      </c>
      <c r="F17" s="14" t="s">
        <v>9</v>
      </c>
    </row>
    <row r="18" customHeight="1" spans="1:6">
      <c r="A18" s="15">
        <v>42461</v>
      </c>
      <c r="B18" s="16">
        <v>8.88</v>
      </c>
      <c r="C18" s="17">
        <v>10.3</v>
      </c>
      <c r="D18" s="18">
        <v>17.1</v>
      </c>
      <c r="E18" s="18">
        <v>41.8</v>
      </c>
      <c r="F18" s="19" t="s">
        <v>9</v>
      </c>
    </row>
    <row r="19" customHeight="1" spans="1:6">
      <c r="A19" s="10">
        <v>42491</v>
      </c>
      <c r="B19" s="11">
        <v>8.88</v>
      </c>
      <c r="C19" s="12">
        <v>12.3</v>
      </c>
      <c r="D19" s="13">
        <v>17.5</v>
      </c>
      <c r="E19" s="13">
        <v>47.6</v>
      </c>
      <c r="F19" s="14" t="s">
        <v>9</v>
      </c>
    </row>
    <row r="20" customHeight="1" spans="1:6">
      <c r="A20" s="15">
        <v>42522</v>
      </c>
      <c r="B20" s="16">
        <v>8.88</v>
      </c>
      <c r="C20" s="17">
        <v>14.8</v>
      </c>
      <c r="D20" s="18">
        <v>15.5</v>
      </c>
      <c r="E20" s="18">
        <v>48</v>
      </c>
      <c r="F20" s="19" t="s">
        <v>9</v>
      </c>
    </row>
    <row r="21" customHeight="1" spans="1:6">
      <c r="A21" s="10">
        <v>42552</v>
      </c>
      <c r="B21" s="11">
        <v>8.88</v>
      </c>
      <c r="C21" s="12">
        <v>14</v>
      </c>
      <c r="D21" s="13">
        <v>15.5</v>
      </c>
      <c r="E21" s="13">
        <v>44.9</v>
      </c>
      <c r="F21" s="14" t="s">
        <v>9</v>
      </c>
    </row>
    <row r="22" customHeight="1" spans="1:6">
      <c r="A22" s="15">
        <v>42583</v>
      </c>
      <c r="B22" s="16">
        <v>8.88</v>
      </c>
      <c r="C22" s="17">
        <v>15.5</v>
      </c>
      <c r="D22" s="18">
        <v>19.6</v>
      </c>
      <c r="E22" s="18">
        <v>47</v>
      </c>
      <c r="F22" s="19" t="s">
        <v>9</v>
      </c>
    </row>
    <row r="23" customHeight="1" spans="1:6">
      <c r="A23" s="10">
        <v>42614</v>
      </c>
      <c r="B23" s="11">
        <v>8.88</v>
      </c>
      <c r="C23" s="12">
        <v>14.1</v>
      </c>
      <c r="D23" s="13">
        <v>19.6</v>
      </c>
      <c r="E23" s="13">
        <v>46.9</v>
      </c>
      <c r="F23" s="14" t="s">
        <v>9</v>
      </c>
    </row>
    <row r="24" customHeight="1" spans="1:6">
      <c r="A24" s="20">
        <v>42644</v>
      </c>
      <c r="B24" s="21">
        <v>8.88</v>
      </c>
      <c r="C24" s="22">
        <v>13.6</v>
      </c>
      <c r="D24" s="23">
        <v>19.6</v>
      </c>
      <c r="E24" s="23">
        <v>51.4</v>
      </c>
      <c r="F24" s="24" t="s">
        <v>9</v>
      </c>
    </row>
    <row r="25" customHeight="1" spans="1:6">
      <c r="A25" s="25">
        <v>42675</v>
      </c>
      <c r="B25" s="26">
        <v>17.7</v>
      </c>
      <c r="C25" s="27">
        <v>19.4</v>
      </c>
      <c r="D25" s="28">
        <v>23.1</v>
      </c>
      <c r="E25" s="28">
        <v>45.9</v>
      </c>
      <c r="F25" s="29" t="s">
        <v>9</v>
      </c>
    </row>
    <row r="26" customHeight="1" spans="1:6">
      <c r="A26" s="30">
        <v>42705</v>
      </c>
      <c r="B26" s="31">
        <v>18.07</v>
      </c>
      <c r="C26" s="32">
        <v>23.3</v>
      </c>
      <c r="D26" s="33">
        <v>26.4</v>
      </c>
      <c r="E26" s="33">
        <v>54.9</v>
      </c>
      <c r="F26" s="34" t="s">
        <v>9</v>
      </c>
    </row>
    <row r="27" customHeight="1" spans="1:6">
      <c r="A27" s="10">
        <v>42736</v>
      </c>
      <c r="B27" s="11">
        <v>18.1</v>
      </c>
      <c r="C27" s="12">
        <v>28.1</v>
      </c>
      <c r="D27" s="13">
        <v>26.3</v>
      </c>
      <c r="E27" s="13">
        <v>55.6</v>
      </c>
      <c r="F27" s="14" t="s">
        <v>9</v>
      </c>
    </row>
    <row r="28" customHeight="1" spans="1:6">
      <c r="A28" s="15">
        <v>42767</v>
      </c>
      <c r="B28" s="16">
        <v>18.1</v>
      </c>
      <c r="C28" s="17">
        <v>30.9</v>
      </c>
      <c r="D28" s="18">
        <v>26.5</v>
      </c>
      <c r="E28" s="18">
        <v>55.7</v>
      </c>
      <c r="F28" s="19" t="s">
        <v>9</v>
      </c>
    </row>
    <row r="29" customHeight="1" spans="1:6">
      <c r="A29" s="10">
        <v>42795</v>
      </c>
      <c r="B29" s="11">
        <v>18.09</v>
      </c>
      <c r="C29" s="12">
        <v>30.9</v>
      </c>
      <c r="D29" s="13">
        <v>28.6</v>
      </c>
      <c r="E29" s="13">
        <v>52.6</v>
      </c>
      <c r="F29" s="14" t="s">
        <v>9</v>
      </c>
    </row>
    <row r="30" customHeight="1" spans="1:6">
      <c r="A30" s="15">
        <v>42826</v>
      </c>
      <c r="B30" s="16">
        <v>18.05</v>
      </c>
      <c r="C30" s="17">
        <v>31.5</v>
      </c>
      <c r="D30" s="18">
        <v>28.5</v>
      </c>
      <c r="E30" s="18">
        <v>53.2</v>
      </c>
      <c r="F30" s="19" t="s">
        <v>9</v>
      </c>
    </row>
    <row r="31" customHeight="1" spans="1:6">
      <c r="A31" s="10">
        <v>42856</v>
      </c>
      <c r="B31" s="11">
        <v>18.03</v>
      </c>
      <c r="C31" s="12">
        <v>29.7</v>
      </c>
      <c r="D31" s="13">
        <v>31.1</v>
      </c>
      <c r="E31" s="13">
        <v>51</v>
      </c>
      <c r="F31" s="14" t="s">
        <v>9</v>
      </c>
    </row>
    <row r="32" customHeight="1" spans="1:6">
      <c r="A32" s="15">
        <v>42887</v>
      </c>
      <c r="B32" s="16">
        <v>18.02</v>
      </c>
      <c r="C32" s="17">
        <v>29.8</v>
      </c>
      <c r="D32" s="18">
        <v>31.6</v>
      </c>
      <c r="E32" s="18">
        <v>47.9</v>
      </c>
      <c r="F32" s="19" t="s">
        <v>9</v>
      </c>
    </row>
    <row r="33" customHeight="1" spans="1:6">
      <c r="A33" s="10">
        <v>42917</v>
      </c>
      <c r="B33" s="11">
        <v>17.9</v>
      </c>
      <c r="C33" s="12">
        <v>33</v>
      </c>
      <c r="D33" s="13">
        <v>36</v>
      </c>
      <c r="E33" s="13">
        <v>48.8</v>
      </c>
      <c r="F33" s="14" t="s">
        <v>9</v>
      </c>
    </row>
    <row r="34" customHeight="1" spans="1:6">
      <c r="A34" s="15">
        <v>42948</v>
      </c>
      <c r="B34" s="16">
        <v>17.8</v>
      </c>
      <c r="C34" s="17">
        <v>31.9</v>
      </c>
      <c r="D34" s="18">
        <v>36</v>
      </c>
      <c r="E34" s="18">
        <v>51.8</v>
      </c>
      <c r="F34" s="19" t="s">
        <v>9</v>
      </c>
    </row>
    <row r="35" customHeight="1" spans="1:6">
      <c r="A35" s="10">
        <v>42979</v>
      </c>
      <c r="B35" s="11">
        <v>17.72</v>
      </c>
      <c r="C35" s="12">
        <v>21.9</v>
      </c>
      <c r="D35" s="13">
        <v>36.4</v>
      </c>
      <c r="E35" s="13">
        <v>55.5</v>
      </c>
      <c r="F35" s="14" t="s">
        <v>9</v>
      </c>
    </row>
    <row r="36" customHeight="1" spans="1:6">
      <c r="A36" s="15">
        <v>43009</v>
      </c>
      <c r="B36" s="16">
        <v>17.65</v>
      </c>
      <c r="C36" s="17">
        <v>30.8</v>
      </c>
      <c r="D36" s="18">
        <v>36.7</v>
      </c>
      <c r="E36" s="18">
        <v>57.8</v>
      </c>
      <c r="F36" s="19" t="s">
        <v>9</v>
      </c>
    </row>
    <row r="37" customHeight="1" spans="1:6">
      <c r="A37" s="10">
        <v>43040</v>
      </c>
      <c r="B37" s="11">
        <v>17.6</v>
      </c>
      <c r="C37" s="12">
        <v>26</v>
      </c>
      <c r="D37" s="13">
        <v>37</v>
      </c>
      <c r="E37" s="13">
        <v>62.5</v>
      </c>
      <c r="F37" s="14" t="s">
        <v>9</v>
      </c>
    </row>
    <row r="38" customHeight="1" spans="1:6">
      <c r="A38" s="15">
        <v>43070</v>
      </c>
      <c r="B38" s="16">
        <v>17.56</v>
      </c>
      <c r="C38" s="17">
        <v>21.9</v>
      </c>
      <c r="D38" s="18">
        <v>37</v>
      </c>
      <c r="E38" s="18">
        <v>64.4</v>
      </c>
      <c r="F38" s="19" t="s">
        <v>9</v>
      </c>
    </row>
    <row r="39" customHeight="1" spans="1:6">
      <c r="A39" s="10">
        <v>43101</v>
      </c>
      <c r="B39" s="11">
        <v>17.52</v>
      </c>
      <c r="C39" s="12">
        <v>17.1</v>
      </c>
      <c r="D39" s="13">
        <v>37</v>
      </c>
      <c r="E39" s="13">
        <v>69.1</v>
      </c>
      <c r="F39" s="14" t="s">
        <v>9</v>
      </c>
    </row>
    <row r="40" customHeight="1" spans="1:6">
      <c r="A40" s="15">
        <v>43132</v>
      </c>
      <c r="B40" s="16">
        <v>17.52</v>
      </c>
      <c r="C40" s="17">
        <v>14.4</v>
      </c>
      <c r="D40" s="18">
        <v>42.5</v>
      </c>
      <c r="E40" s="18">
        <v>65</v>
      </c>
      <c r="F40" s="19" t="s">
        <v>9</v>
      </c>
    </row>
    <row r="41" customHeight="1" spans="1:6">
      <c r="A41" s="10">
        <v>43160</v>
      </c>
      <c r="B41" s="11">
        <v>17.52</v>
      </c>
      <c r="C41" s="12">
        <v>13.3</v>
      </c>
      <c r="D41" s="13">
        <v>44.3</v>
      </c>
      <c r="E41" s="13">
        <v>66.8</v>
      </c>
      <c r="F41" s="14" t="s">
        <v>9</v>
      </c>
    </row>
    <row r="42" customHeight="1" spans="1:6">
      <c r="A42" s="15">
        <v>43191</v>
      </c>
      <c r="B42" s="16">
        <v>17.52</v>
      </c>
      <c r="C42" s="17">
        <v>13.1</v>
      </c>
      <c r="D42" s="18">
        <v>44.1</v>
      </c>
      <c r="E42" s="18">
        <v>72.1</v>
      </c>
      <c r="F42" s="19" t="s">
        <v>9</v>
      </c>
    </row>
    <row r="43" customHeight="1" spans="1:6">
      <c r="A43" s="10">
        <v>43221</v>
      </c>
      <c r="B43" s="11">
        <v>17.85</v>
      </c>
      <c r="C43" s="12">
        <v>12.1</v>
      </c>
      <c r="D43" s="13">
        <v>44.2</v>
      </c>
      <c r="E43" s="13">
        <v>76.6</v>
      </c>
      <c r="F43" s="14" t="s">
        <v>9</v>
      </c>
    </row>
    <row r="44" customHeight="1" spans="1:6">
      <c r="A44" s="15">
        <v>43252</v>
      </c>
      <c r="B44" s="16">
        <v>17.87</v>
      </c>
      <c r="C44" s="17">
        <v>14.4</v>
      </c>
      <c r="D44" s="18">
        <v>44.4</v>
      </c>
      <c r="E44" s="18">
        <v>74.4</v>
      </c>
      <c r="F44" s="19" t="s">
        <v>9</v>
      </c>
    </row>
    <row r="45" customHeight="1" spans="1:6">
      <c r="A45" s="10">
        <v>43282</v>
      </c>
      <c r="B45" s="11">
        <v>17.87</v>
      </c>
      <c r="C45" s="12">
        <v>14</v>
      </c>
      <c r="D45" s="13">
        <v>44.4</v>
      </c>
      <c r="E45" s="13">
        <v>74.2</v>
      </c>
      <c r="F45" s="14" t="s">
        <v>9</v>
      </c>
    </row>
    <row r="46" customHeight="1" spans="1:6">
      <c r="A46" s="15">
        <v>43313</v>
      </c>
      <c r="B46" s="16">
        <v>17.92</v>
      </c>
      <c r="C46" s="17">
        <v>13.5</v>
      </c>
      <c r="D46" s="18">
        <v>44.4</v>
      </c>
      <c r="E46" s="18">
        <v>72.5</v>
      </c>
      <c r="F46" s="19" t="s">
        <v>9</v>
      </c>
    </row>
    <row r="47" customHeight="1" spans="1:6">
      <c r="A47" s="10">
        <v>43344</v>
      </c>
      <c r="B47" s="11">
        <v>17.92</v>
      </c>
      <c r="C47" s="12">
        <v>16</v>
      </c>
      <c r="D47" s="13">
        <v>44.4</v>
      </c>
      <c r="E47" s="13">
        <v>78.9</v>
      </c>
      <c r="F47" s="14" t="s">
        <v>9</v>
      </c>
    </row>
    <row r="48" customHeight="1" spans="1:6">
      <c r="A48" s="15">
        <v>43374</v>
      </c>
      <c r="B48" s="16">
        <v>17.92</v>
      </c>
      <c r="C48" s="17">
        <v>17.7</v>
      </c>
      <c r="D48" s="18">
        <v>44.5</v>
      </c>
      <c r="E48" s="18">
        <v>81</v>
      </c>
      <c r="F48" s="19" t="s">
        <v>9</v>
      </c>
    </row>
    <row r="49" customHeight="1" spans="1:6">
      <c r="A49" s="10">
        <v>43405</v>
      </c>
      <c r="B49" s="11">
        <v>17.89</v>
      </c>
      <c r="C49" s="12">
        <v>18</v>
      </c>
      <c r="D49" s="13">
        <v>44.5</v>
      </c>
      <c r="E49" s="13">
        <v>65.1</v>
      </c>
      <c r="F49" s="14" t="s">
        <v>9</v>
      </c>
    </row>
    <row r="50" customHeight="1" spans="1:6">
      <c r="A50" s="15">
        <v>43435</v>
      </c>
      <c r="B50" s="16">
        <v>17.87</v>
      </c>
      <c r="C50" s="17">
        <v>12</v>
      </c>
      <c r="D50" s="18">
        <v>44.6</v>
      </c>
      <c r="E50" s="18">
        <v>57.3</v>
      </c>
      <c r="F50" s="19" t="s">
        <v>9</v>
      </c>
    </row>
    <row r="51" customHeight="1" spans="1:6">
      <c r="A51" s="10">
        <v>43466</v>
      </c>
      <c r="B51" s="11">
        <v>17.85</v>
      </c>
      <c r="C51" s="12">
        <v>12</v>
      </c>
      <c r="D51" s="13">
        <v>42.6</v>
      </c>
      <c r="E51" s="13">
        <v>59.4</v>
      </c>
      <c r="F51" s="14" t="s">
        <v>9</v>
      </c>
    </row>
    <row r="52" customHeight="1" spans="1:6">
      <c r="A52" s="15">
        <v>43497</v>
      </c>
      <c r="B52" s="16">
        <v>17.82</v>
      </c>
      <c r="C52" s="17">
        <v>14.4</v>
      </c>
      <c r="D52" s="18">
        <v>42.2</v>
      </c>
      <c r="E52" s="18">
        <v>64.3</v>
      </c>
      <c r="F52" s="19" t="s">
        <v>9</v>
      </c>
    </row>
    <row r="53" customHeight="1" spans="1:6">
      <c r="A53" s="10">
        <v>43525</v>
      </c>
      <c r="B53" s="11">
        <v>17.48</v>
      </c>
      <c r="C53" s="12">
        <v>14.2</v>
      </c>
      <c r="D53" s="13">
        <v>43.9</v>
      </c>
      <c r="E53" s="13">
        <v>67.2</v>
      </c>
      <c r="F53" s="14" t="s">
        <v>9</v>
      </c>
    </row>
    <row r="54" customHeight="1" spans="1:6">
      <c r="A54" s="15">
        <v>43556</v>
      </c>
      <c r="B54" s="16">
        <v>17.25</v>
      </c>
      <c r="C54" s="17">
        <v>13</v>
      </c>
      <c r="D54" s="18">
        <v>43</v>
      </c>
      <c r="E54" s="18">
        <v>71.2</v>
      </c>
      <c r="F54" s="19" t="s">
        <v>9</v>
      </c>
    </row>
    <row r="55" customHeight="1" spans="1:6">
      <c r="A55" s="10">
        <v>43586</v>
      </c>
      <c r="B55" s="11">
        <v>17.1</v>
      </c>
      <c r="C55" s="12">
        <v>8.1</v>
      </c>
      <c r="D55" s="13">
        <v>44.1</v>
      </c>
      <c r="E55" s="13">
        <v>70.7</v>
      </c>
      <c r="F55" s="14" t="s">
        <v>9</v>
      </c>
    </row>
    <row r="56" customHeight="1" spans="1:6">
      <c r="A56" s="15">
        <v>43617</v>
      </c>
      <c r="B56" s="16">
        <v>16.97</v>
      </c>
      <c r="C56" s="17">
        <v>9.4</v>
      </c>
      <c r="D56" s="18">
        <v>45.1</v>
      </c>
      <c r="E56" s="18">
        <v>64.4</v>
      </c>
      <c r="F56" s="19" t="s">
        <v>9</v>
      </c>
    </row>
    <row r="57" customHeight="1" spans="1:6">
      <c r="A57" s="10">
        <v>43647</v>
      </c>
      <c r="B57" s="11">
        <v>16.87</v>
      </c>
      <c r="C57" s="12">
        <v>8.7</v>
      </c>
      <c r="D57" s="13">
        <v>45.1</v>
      </c>
      <c r="E57" s="13">
        <v>63.9</v>
      </c>
      <c r="F57" s="14" t="s">
        <v>9</v>
      </c>
    </row>
    <row r="58" customHeight="1" spans="1:6">
      <c r="A58" s="15">
        <v>43678</v>
      </c>
      <c r="B58" s="16">
        <v>16.77</v>
      </c>
      <c r="C58" s="17">
        <v>7.5</v>
      </c>
      <c r="D58" s="18">
        <v>45.4</v>
      </c>
      <c r="E58" s="18">
        <v>59.3</v>
      </c>
      <c r="F58" s="19" t="s">
        <v>9</v>
      </c>
    </row>
    <row r="59" customHeight="1" spans="1:6">
      <c r="A59" s="10">
        <v>43709</v>
      </c>
      <c r="B59" s="11">
        <v>16.4</v>
      </c>
      <c r="C59" s="12">
        <v>4.8</v>
      </c>
      <c r="D59" s="13">
        <v>45.4</v>
      </c>
      <c r="E59" s="13">
        <v>62.3</v>
      </c>
      <c r="F59" s="14" t="s">
        <v>9</v>
      </c>
    </row>
    <row r="60" customHeight="1" spans="1:6">
      <c r="A60" s="15">
        <v>43739</v>
      </c>
      <c r="B60" s="16">
        <v>16.35</v>
      </c>
      <c r="C60" s="17">
        <v>3.1</v>
      </c>
      <c r="D60" s="18">
        <v>45.4</v>
      </c>
      <c r="E60" s="18">
        <v>59.7</v>
      </c>
      <c r="F60" s="19" t="s">
        <v>9</v>
      </c>
    </row>
    <row r="61" customHeight="1" spans="1:6">
      <c r="A61" s="10">
        <v>43770</v>
      </c>
      <c r="B61" s="11">
        <v>16.22</v>
      </c>
      <c r="C61" s="12">
        <v>3.6</v>
      </c>
      <c r="D61" s="13">
        <v>45.4</v>
      </c>
      <c r="E61" s="13">
        <v>63.2</v>
      </c>
      <c r="F61" s="14" t="s">
        <v>9</v>
      </c>
    </row>
    <row r="62" customHeight="1" spans="1:6">
      <c r="A62" s="15">
        <v>43800</v>
      </c>
      <c r="B62" s="16">
        <v>16.1</v>
      </c>
      <c r="C62" s="17">
        <v>7.1</v>
      </c>
      <c r="D62" s="18">
        <v>45.5</v>
      </c>
      <c r="E62" s="18">
        <v>67.3</v>
      </c>
      <c r="F62" s="19" t="s">
        <v>9</v>
      </c>
    </row>
    <row r="63" customHeight="1" spans="1:6">
      <c r="A63" s="10">
        <v>43831</v>
      </c>
      <c r="B63" s="11">
        <v>16.07</v>
      </c>
      <c r="C63" s="12">
        <v>7.2</v>
      </c>
      <c r="D63" s="13">
        <v>45.5</v>
      </c>
      <c r="E63" s="13">
        <v>63.7</v>
      </c>
      <c r="F63" s="14" t="s">
        <v>9</v>
      </c>
    </row>
    <row r="64" customHeight="1" spans="1:6">
      <c r="A64" s="15">
        <v>43862</v>
      </c>
      <c r="B64" s="16">
        <v>15.73</v>
      </c>
      <c r="C64" s="17">
        <v>5.3</v>
      </c>
      <c r="D64" s="18">
        <v>45.5</v>
      </c>
      <c r="E64" s="18">
        <v>55.7</v>
      </c>
      <c r="F64" s="19" t="s">
        <v>9</v>
      </c>
    </row>
    <row r="65" customHeight="1" spans="1:6">
      <c r="A65" s="10">
        <v>43891</v>
      </c>
      <c r="B65" s="11">
        <v>15.73</v>
      </c>
      <c r="C65" s="12">
        <v>5.1</v>
      </c>
      <c r="D65" s="13">
        <v>40.1</v>
      </c>
      <c r="E65" s="13">
        <v>32</v>
      </c>
      <c r="F65" s="14" t="s">
        <v>9</v>
      </c>
    </row>
    <row r="66" customHeight="1" spans="1:6">
      <c r="A66" s="15">
        <v>43922</v>
      </c>
      <c r="B66" s="16">
        <v>16</v>
      </c>
      <c r="C66" s="17">
        <v>5.9</v>
      </c>
      <c r="D66" s="18">
        <v>37</v>
      </c>
      <c r="E66" s="18">
        <v>18.4</v>
      </c>
      <c r="F66" s="19" t="s">
        <v>9</v>
      </c>
    </row>
    <row r="67" customHeight="1" spans="1:6">
      <c r="A67" s="10">
        <v>43952</v>
      </c>
      <c r="B67" s="11">
        <v>16.04</v>
      </c>
      <c r="C67" s="12">
        <v>4.7</v>
      </c>
      <c r="D67" s="13">
        <v>38.2</v>
      </c>
      <c r="E67" s="13">
        <v>30.4</v>
      </c>
      <c r="F67" s="14" t="s">
        <v>9</v>
      </c>
    </row>
    <row r="68" customHeight="1" spans="1:6">
      <c r="A68" s="15">
        <v>43983</v>
      </c>
      <c r="B68" s="16">
        <v>16.08</v>
      </c>
      <c r="C68" s="17">
        <v>5.6</v>
      </c>
      <c r="D68" s="18">
        <v>38.2</v>
      </c>
      <c r="E68" s="18">
        <v>40.8</v>
      </c>
      <c r="F68" s="19" t="s">
        <v>9</v>
      </c>
    </row>
    <row r="69" customHeight="1" spans="1:6">
      <c r="A69" s="10">
        <v>44013</v>
      </c>
      <c r="B69" s="11">
        <v>16.14</v>
      </c>
      <c r="C69" s="12">
        <v>4.2</v>
      </c>
      <c r="D69" s="13">
        <v>38.4</v>
      </c>
      <c r="E69" s="13">
        <v>43.3</v>
      </c>
      <c r="F69" s="14" t="s">
        <v>9</v>
      </c>
    </row>
    <row r="70" customHeight="1" spans="1:6">
      <c r="A70" s="15">
        <v>44044</v>
      </c>
      <c r="B70" s="16">
        <v>16.17</v>
      </c>
      <c r="C70" s="17">
        <v>3.4</v>
      </c>
      <c r="D70" s="18">
        <v>38.5</v>
      </c>
      <c r="E70" s="18">
        <v>44.4</v>
      </c>
      <c r="F70" s="19" t="s">
        <v>9</v>
      </c>
    </row>
    <row r="71" customHeight="1" spans="1:6">
      <c r="A71" s="10">
        <v>44075</v>
      </c>
      <c r="B71" s="11">
        <v>16.19</v>
      </c>
      <c r="C71" s="12">
        <v>3.7</v>
      </c>
      <c r="D71" s="13">
        <v>38.5</v>
      </c>
      <c r="E71" s="13">
        <v>41</v>
      </c>
      <c r="F71" s="14" t="s">
        <v>9</v>
      </c>
    </row>
    <row r="72" customHeight="1" spans="1:6">
      <c r="A72" s="15">
        <v>44105</v>
      </c>
      <c r="B72" s="16">
        <v>16.19</v>
      </c>
      <c r="C72" s="17">
        <v>4.5</v>
      </c>
      <c r="D72" s="18">
        <v>39.2</v>
      </c>
      <c r="E72" s="18">
        <v>40</v>
      </c>
      <c r="F72" s="19" t="s">
        <v>9</v>
      </c>
    </row>
    <row r="73" customHeight="1" spans="1:6">
      <c r="A73" s="10">
        <v>44136</v>
      </c>
      <c r="B73" s="11">
        <v>15.75</v>
      </c>
      <c r="C73" s="12">
        <v>5.7</v>
      </c>
      <c r="D73" s="13">
        <v>39.3</v>
      </c>
      <c r="E73" s="13">
        <v>42.5</v>
      </c>
      <c r="F73" s="14" t="s">
        <v>9</v>
      </c>
    </row>
    <row r="74" customHeight="1" spans="1:6">
      <c r="A74" s="15">
        <v>44166</v>
      </c>
      <c r="B74" s="16">
        <v>15.69</v>
      </c>
      <c r="C74" s="17">
        <v>5.4</v>
      </c>
      <c r="D74" s="18">
        <v>40.1</v>
      </c>
      <c r="E74" s="18">
        <v>50.2</v>
      </c>
      <c r="F74" s="19" t="s">
        <v>9</v>
      </c>
    </row>
    <row r="75" customHeight="1" spans="1:6">
      <c r="A75" s="10">
        <v>44197</v>
      </c>
      <c r="B75" s="11">
        <v>15.63</v>
      </c>
      <c r="C75" s="12">
        <v>4.5</v>
      </c>
      <c r="D75" s="13">
        <v>40.1</v>
      </c>
      <c r="E75" s="13">
        <v>55</v>
      </c>
      <c r="F75" s="14" t="s">
        <v>9</v>
      </c>
    </row>
    <row r="76" customHeight="1" spans="1:6">
      <c r="A76" s="15">
        <v>44228</v>
      </c>
      <c r="B76" s="16">
        <v>15.62</v>
      </c>
      <c r="C76" s="17">
        <v>4.5</v>
      </c>
      <c r="D76" s="18">
        <v>40.3</v>
      </c>
      <c r="E76" s="18">
        <v>60.9</v>
      </c>
      <c r="F76" s="19" t="s">
        <v>9</v>
      </c>
    </row>
    <row r="77" customHeight="1" spans="1:6">
      <c r="A77" s="10">
        <v>44256</v>
      </c>
      <c r="B77" s="11">
        <v>15.6</v>
      </c>
      <c r="C77" s="12">
        <v>4.5</v>
      </c>
      <c r="D77" s="13">
        <v>40</v>
      </c>
      <c r="E77" s="13">
        <v>61</v>
      </c>
      <c r="F77" s="14" t="s">
        <v>9</v>
      </c>
    </row>
    <row r="78" customHeight="1" spans="1:6">
      <c r="A78" s="15">
        <v>44287</v>
      </c>
      <c r="B78" s="16">
        <v>15.6</v>
      </c>
      <c r="C78" s="17">
        <v>4.1</v>
      </c>
      <c r="D78" s="18">
        <v>40</v>
      </c>
      <c r="E78" s="18">
        <v>63</v>
      </c>
      <c r="F78" s="19" t="s">
        <v>9</v>
      </c>
    </row>
    <row r="79" customHeight="1" spans="1:6">
      <c r="A79" s="10">
        <v>44317</v>
      </c>
      <c r="B79" s="11">
        <v>15.66</v>
      </c>
      <c r="C79" s="12">
        <v>4.8</v>
      </c>
      <c r="D79" s="13">
        <v>40.1</v>
      </c>
      <c r="E79" s="13">
        <v>68.5</v>
      </c>
      <c r="F79" s="14" t="s">
        <v>9</v>
      </c>
    </row>
    <row r="80" customHeight="1" spans="1:6">
      <c r="A80" s="15">
        <v>44348</v>
      </c>
      <c r="B80" s="16">
        <v>15.65</v>
      </c>
      <c r="C80" s="17">
        <v>4.9</v>
      </c>
      <c r="D80" s="18">
        <v>40.9</v>
      </c>
      <c r="E80" s="18">
        <v>73.1</v>
      </c>
      <c r="F80" s="19" t="s">
        <v>9</v>
      </c>
    </row>
    <row r="81" customHeight="1" spans="1:6">
      <c r="A81" s="10">
        <v>44378</v>
      </c>
      <c r="B81" s="11">
        <v>15.63</v>
      </c>
      <c r="C81" s="12">
        <v>5.4</v>
      </c>
      <c r="D81" s="13">
        <v>40.9</v>
      </c>
      <c r="E81" s="13">
        <v>74.5</v>
      </c>
      <c r="F81" s="14" t="s">
        <v>9</v>
      </c>
    </row>
    <row r="82" customHeight="1" spans="1:6">
      <c r="A82" s="15">
        <v>44409</v>
      </c>
      <c r="B82" s="16">
        <v>15.71</v>
      </c>
      <c r="C82" s="17">
        <v>5.7</v>
      </c>
      <c r="D82" s="18">
        <v>40.9</v>
      </c>
      <c r="E82" s="18">
        <v>70.7</v>
      </c>
      <c r="F82" s="19" t="s">
        <v>9</v>
      </c>
    </row>
    <row r="83" customHeight="1" spans="1:6">
      <c r="A83" s="10">
        <v>44440</v>
      </c>
      <c r="B83" s="11">
        <v>15.66</v>
      </c>
      <c r="C83" s="12">
        <v>6.6</v>
      </c>
      <c r="D83" s="13">
        <v>41.1</v>
      </c>
      <c r="E83" s="13">
        <v>75</v>
      </c>
      <c r="F83" s="14" t="s">
        <v>9</v>
      </c>
    </row>
    <row r="84" customHeight="1" spans="1:6">
      <c r="A84" s="15">
        <v>44470</v>
      </c>
      <c r="B84" s="16">
        <v>15.65</v>
      </c>
      <c r="C84" s="17">
        <v>6.3</v>
      </c>
      <c r="D84" s="18">
        <v>41.1</v>
      </c>
      <c r="E84" s="18">
        <v>83.5</v>
      </c>
      <c r="F84" s="19" t="s">
        <v>9</v>
      </c>
    </row>
    <row r="85" customHeight="1" spans="1:6">
      <c r="A85" s="10">
        <v>44501</v>
      </c>
      <c r="B85" s="11">
        <v>15.67</v>
      </c>
      <c r="C85" s="12">
        <v>6.2</v>
      </c>
      <c r="D85" s="13">
        <v>41.1</v>
      </c>
      <c r="E85" s="13">
        <v>79.6</v>
      </c>
      <c r="F85" s="14" t="s">
        <v>9</v>
      </c>
    </row>
    <row r="86" customHeight="1" spans="1:6">
      <c r="A86" s="15">
        <v>44531</v>
      </c>
      <c r="B86" s="16">
        <v>15.73</v>
      </c>
      <c r="C86" s="17">
        <v>5.9</v>
      </c>
      <c r="D86" s="18">
        <v>41</v>
      </c>
      <c r="E86" s="18">
        <v>73.7</v>
      </c>
      <c r="F86" s="19" t="s">
        <v>9</v>
      </c>
    </row>
    <row r="87" customHeight="1" spans="1:6">
      <c r="A87" s="10">
        <v>44562</v>
      </c>
      <c r="B87" s="11">
        <v>15.73</v>
      </c>
      <c r="C87" s="12">
        <v>7.3</v>
      </c>
      <c r="D87" s="13">
        <v>41</v>
      </c>
      <c r="E87" s="13">
        <v>83.3</v>
      </c>
      <c r="F87" s="14" t="s">
        <v>9</v>
      </c>
    </row>
    <row r="88" customHeight="1" spans="1:6">
      <c r="A88" s="15">
        <v>44593</v>
      </c>
      <c r="B88" s="16">
        <v>15.73</v>
      </c>
      <c r="C88" s="17">
        <v>8.8</v>
      </c>
      <c r="D88" s="18">
        <v>40</v>
      </c>
      <c r="E88" s="18">
        <v>97.2</v>
      </c>
      <c r="F88" s="19" t="s">
        <v>9</v>
      </c>
    </row>
    <row r="89" customHeight="1" spans="1:6">
      <c r="A89" s="10">
        <v>44621</v>
      </c>
      <c r="B89" s="11">
        <v>18.2</v>
      </c>
      <c r="C89" s="12">
        <v>10.5</v>
      </c>
      <c r="D89" s="13">
        <v>37.1</v>
      </c>
      <c r="E89" s="13">
        <v>117.3</v>
      </c>
      <c r="F89" s="14" t="s">
        <v>9</v>
      </c>
    </row>
    <row r="90" customHeight="1" spans="1:6">
      <c r="A90" s="15">
        <v>44652</v>
      </c>
      <c r="B90" s="16">
        <v>18.27</v>
      </c>
      <c r="C90" s="17">
        <v>13.1</v>
      </c>
      <c r="D90" s="18">
        <v>35.5</v>
      </c>
      <c r="E90" s="18">
        <v>104.6</v>
      </c>
      <c r="F90" s="19" t="s">
        <v>9</v>
      </c>
    </row>
    <row r="91" customHeight="1" spans="1:6">
      <c r="A91" s="10">
        <v>44682</v>
      </c>
      <c r="B91" s="11">
        <v>18.27</v>
      </c>
      <c r="C91" s="12">
        <v>13.5</v>
      </c>
      <c r="D91" s="13">
        <v>33.4</v>
      </c>
      <c r="E91" s="13">
        <v>113.3</v>
      </c>
      <c r="F91" s="14" t="s">
        <v>9</v>
      </c>
    </row>
    <row r="92" customHeight="1" spans="1:6">
      <c r="A92" s="15">
        <v>44713</v>
      </c>
      <c r="B92" s="16">
        <v>18.66</v>
      </c>
      <c r="C92" s="17">
        <v>13.2</v>
      </c>
      <c r="D92" s="18">
        <v>33.1</v>
      </c>
      <c r="E92" s="35">
        <v>122.7</v>
      </c>
      <c r="F92" s="19" t="s">
        <v>9</v>
      </c>
    </row>
    <row r="93" customHeight="1" spans="1:6">
      <c r="A93" s="10">
        <v>44743</v>
      </c>
      <c r="B93" s="11">
        <v>18.87</v>
      </c>
      <c r="C93" s="12">
        <v>13.6</v>
      </c>
      <c r="D93" s="13">
        <v>33.1</v>
      </c>
      <c r="E93" s="13">
        <v>105.1</v>
      </c>
      <c r="F93" s="14" t="s">
        <v>9</v>
      </c>
    </row>
    <row r="94" customHeight="1" spans="1:6">
      <c r="A94" s="15">
        <v>44774</v>
      </c>
      <c r="B94" s="16">
        <v>19.1</v>
      </c>
      <c r="C94" s="17">
        <v>14.6</v>
      </c>
      <c r="D94" s="18">
        <v>33.1</v>
      </c>
      <c r="E94" s="18">
        <v>99.9</v>
      </c>
      <c r="F94" s="19" t="s">
        <v>9</v>
      </c>
    </row>
    <row r="95" customHeight="1" spans="1:6">
      <c r="A95" s="10">
        <v>44805</v>
      </c>
      <c r="B95" s="11">
        <v>19.63</v>
      </c>
      <c r="C95" s="12">
        <v>15.3</v>
      </c>
      <c r="D95" s="13">
        <v>33.2</v>
      </c>
      <c r="E95" s="13">
        <v>91.7</v>
      </c>
      <c r="F95" s="14" t="s">
        <v>9</v>
      </c>
    </row>
    <row r="96" customHeight="1" spans="1:6">
      <c r="A96" s="15">
        <v>44835</v>
      </c>
      <c r="B96" s="16">
        <v>19.82</v>
      </c>
      <c r="C96" s="17">
        <v>16.2</v>
      </c>
      <c r="D96" s="18">
        <v>33.5</v>
      </c>
      <c r="E96" s="18">
        <v>93.4</v>
      </c>
      <c r="F96" s="19" t="s">
        <v>9</v>
      </c>
    </row>
    <row r="97" customHeight="1" spans="1:6">
      <c r="A97" s="10">
        <v>44866</v>
      </c>
      <c r="B97" s="11">
        <v>24.64</v>
      </c>
      <c r="C97" s="12">
        <v>18.7</v>
      </c>
      <c r="D97" s="13">
        <v>34</v>
      </c>
      <c r="E97" s="13">
        <v>88.6</v>
      </c>
      <c r="F97" s="14" t="s">
        <v>9</v>
      </c>
    </row>
    <row r="98" customHeight="1" spans="1:6">
      <c r="A98" s="15">
        <v>44896</v>
      </c>
      <c r="B98" s="16">
        <v>24.7</v>
      </c>
      <c r="C98" s="17">
        <v>21.3</v>
      </c>
      <c r="D98" s="18">
        <v>34.2</v>
      </c>
      <c r="E98" s="18">
        <v>76.1</v>
      </c>
      <c r="F98" s="19" t="s">
        <v>9</v>
      </c>
    </row>
    <row r="99" customHeight="1" spans="1:6">
      <c r="A99" s="10">
        <v>44927</v>
      </c>
      <c r="B99" s="11">
        <v>29.53</v>
      </c>
      <c r="C99" s="12">
        <v>25.8</v>
      </c>
      <c r="D99" s="13">
        <v>34</v>
      </c>
      <c r="E99" s="13">
        <v>82.2</v>
      </c>
      <c r="F99" s="14" t="s">
        <v>9</v>
      </c>
    </row>
    <row r="100" customHeight="1" spans="1:6">
      <c r="A100" s="15">
        <v>44958</v>
      </c>
      <c r="B100" s="16">
        <v>30.5</v>
      </c>
      <c r="C100" s="17">
        <v>31.9</v>
      </c>
      <c r="D100" s="18">
        <v>34.5</v>
      </c>
      <c r="E100" s="18">
        <v>83</v>
      </c>
      <c r="F100" s="19" t="s">
        <v>9</v>
      </c>
    </row>
    <row r="101" customHeight="1" spans="1:6">
      <c r="A101" s="10">
        <v>44986</v>
      </c>
      <c r="B101" s="11">
        <v>30.86</v>
      </c>
      <c r="C101" s="12">
        <v>32.7</v>
      </c>
      <c r="D101" s="13">
        <v>34.9</v>
      </c>
      <c r="E101" s="13">
        <v>79.8</v>
      </c>
      <c r="F101" s="14" t="s">
        <v>9</v>
      </c>
    </row>
    <row r="102" customHeight="1" spans="1:6">
      <c r="A102" s="15">
        <v>45017</v>
      </c>
      <c r="B102" s="16">
        <v>30.9</v>
      </c>
      <c r="C102" s="17">
        <v>30.6</v>
      </c>
      <c r="D102" s="18">
        <v>33.7</v>
      </c>
      <c r="E102" s="18">
        <v>84.8</v>
      </c>
      <c r="F102" s="19" t="s">
        <v>9</v>
      </c>
    </row>
    <row r="103" customHeight="1" spans="1:6">
      <c r="A103" s="10">
        <v>45047</v>
      </c>
      <c r="B103" s="11">
        <v>30.9</v>
      </c>
      <c r="C103" s="12">
        <v>32.7</v>
      </c>
      <c r="D103" s="13">
        <v>34.7</v>
      </c>
      <c r="E103" s="13">
        <v>75.6</v>
      </c>
      <c r="F103" s="14" t="s">
        <v>9</v>
      </c>
    </row>
    <row r="104" customHeight="1" spans="1:6">
      <c r="A104" s="15">
        <v>45078</v>
      </c>
      <c r="B104" s="16">
        <v>30.9</v>
      </c>
      <c r="C104" s="17">
        <v>36.8</v>
      </c>
      <c r="D104" s="18">
        <v>35</v>
      </c>
      <c r="E104" s="18">
        <v>74.9</v>
      </c>
      <c r="F104" s="19" t="s">
        <v>9</v>
      </c>
    </row>
    <row r="105" customHeight="1" spans="1:6">
      <c r="A105" s="10">
        <v>45108</v>
      </c>
      <c r="B105" s="11">
        <v>30.9</v>
      </c>
      <c r="C105" s="12">
        <v>38</v>
      </c>
      <c r="D105" s="13">
        <v>35</v>
      </c>
      <c r="E105" s="13">
        <v>79.6</v>
      </c>
      <c r="F105" s="14" t="s">
        <v>9</v>
      </c>
    </row>
    <row r="106" customHeight="1" spans="1:6">
      <c r="A106" s="15">
        <v>45139</v>
      </c>
      <c r="B106" s="16">
        <v>30.9</v>
      </c>
      <c r="C106" s="36">
        <v>39.7</v>
      </c>
      <c r="D106" s="18">
        <v>35</v>
      </c>
      <c r="E106" s="18">
        <v>85.5</v>
      </c>
      <c r="F106" s="19" t="s">
        <v>9</v>
      </c>
    </row>
    <row r="107" customHeight="1" spans="1:6">
      <c r="A107" s="10">
        <v>45170</v>
      </c>
      <c r="B107" s="11">
        <v>30.9</v>
      </c>
      <c r="C107" s="12">
        <v>38</v>
      </c>
      <c r="D107" s="13">
        <v>35</v>
      </c>
      <c r="E107" s="13">
        <v>93.1</v>
      </c>
      <c r="F107" s="14" t="s">
        <v>9</v>
      </c>
    </row>
    <row r="108" customHeight="1" spans="1:6">
      <c r="A108" s="15">
        <v>45200</v>
      </c>
      <c r="B108" s="16">
        <v>30.9</v>
      </c>
      <c r="C108" s="17">
        <v>35.8</v>
      </c>
      <c r="D108" s="18">
        <v>35</v>
      </c>
      <c r="E108" s="18">
        <v>91.4</v>
      </c>
      <c r="F108" s="19" t="s">
        <v>9</v>
      </c>
    </row>
    <row r="109" customHeight="1" spans="1:6">
      <c r="A109" s="10">
        <v>45231</v>
      </c>
      <c r="B109" s="11">
        <v>30.9</v>
      </c>
      <c r="C109" s="12">
        <v>34.6</v>
      </c>
      <c r="D109" s="13">
        <v>35.2</v>
      </c>
      <c r="E109" s="13">
        <v>83.3</v>
      </c>
      <c r="F109" s="14" t="s">
        <v>9</v>
      </c>
    </row>
    <row r="110" customHeight="1" spans="1:6">
      <c r="A110" s="15">
        <v>45261</v>
      </c>
      <c r="B110" s="16">
        <v>30.9</v>
      </c>
      <c r="C110" s="17">
        <v>33.9</v>
      </c>
      <c r="D110" s="18">
        <v>35.2</v>
      </c>
      <c r="E110" s="18">
        <v>77</v>
      </c>
      <c r="F110" s="19" t="s">
        <v>9</v>
      </c>
    </row>
    <row r="111" customHeight="1" spans="1:6">
      <c r="A111" s="10">
        <v>45292</v>
      </c>
      <c r="B111" s="11">
        <v>30.9</v>
      </c>
      <c r="C111" s="12">
        <v>29.8</v>
      </c>
      <c r="D111" s="13">
        <v>35.4</v>
      </c>
      <c r="E111" s="13">
        <v>78</v>
      </c>
      <c r="F111" s="14" t="s">
        <v>9</v>
      </c>
    </row>
    <row r="112" customHeight="1" spans="1:6">
      <c r="A112" s="15">
        <v>45323</v>
      </c>
      <c r="B112" s="16">
        <v>30.9</v>
      </c>
      <c r="C112" s="17">
        <v>35.7</v>
      </c>
      <c r="D112" s="18">
        <v>35.4</v>
      </c>
      <c r="E112" s="18">
        <v>81.7</v>
      </c>
      <c r="F112" s="19" t="s">
        <v>9</v>
      </c>
    </row>
    <row r="113" customHeight="1" spans="1:6">
      <c r="A113" s="10">
        <v>45352</v>
      </c>
      <c r="B113" s="37">
        <v>49.8</v>
      </c>
      <c r="C113" s="12">
        <v>33.3</v>
      </c>
      <c r="D113" s="13">
        <v>38.8</v>
      </c>
      <c r="E113" s="13">
        <v>85.5</v>
      </c>
      <c r="F113" s="14" t="s">
        <v>9</v>
      </c>
    </row>
    <row r="114" customHeight="1" spans="1:6">
      <c r="A114" s="15">
        <v>45383</v>
      </c>
      <c r="B114" s="16">
        <v>48.6</v>
      </c>
      <c r="C114" s="17">
        <v>32.5</v>
      </c>
      <c r="D114" s="18">
        <v>41.1</v>
      </c>
      <c r="E114" s="18">
        <v>89</v>
      </c>
      <c r="F114" s="19" t="s">
        <v>9</v>
      </c>
    </row>
    <row r="115" customHeight="1" spans="1:6">
      <c r="A115" s="10">
        <v>45413</v>
      </c>
      <c r="B115" s="11">
        <v>47.9</v>
      </c>
      <c r="C115" s="12">
        <v>28.1</v>
      </c>
      <c r="D115" s="13">
        <v>46.2</v>
      </c>
      <c r="E115" s="13">
        <v>83.6</v>
      </c>
      <c r="F115" s="14" t="s">
        <v>9</v>
      </c>
    </row>
    <row r="116" customHeight="1" spans="1:6">
      <c r="A116" s="15">
        <v>45444</v>
      </c>
      <c r="B116" s="16">
        <v>47.8</v>
      </c>
      <c r="C116" s="17">
        <v>27.5</v>
      </c>
      <c r="D116" s="18">
        <v>46.5</v>
      </c>
      <c r="E116" s="18">
        <v>85</v>
      </c>
      <c r="F116" s="19" t="s">
        <v>9</v>
      </c>
    </row>
    <row r="117" customHeight="1" spans="1:6">
      <c r="A117" s="10">
        <v>45474</v>
      </c>
      <c r="B117" s="11">
        <v>47.5</v>
      </c>
      <c r="C117" s="12">
        <v>25.7</v>
      </c>
      <c r="D117" s="13">
        <v>46.9</v>
      </c>
      <c r="E117" s="13">
        <v>84.5</v>
      </c>
      <c r="F117" s="14" t="s">
        <v>9</v>
      </c>
    </row>
    <row r="118" customHeight="1" spans="1:6">
      <c r="A118" s="15">
        <v>45505</v>
      </c>
      <c r="B118" s="16">
        <v>48</v>
      </c>
      <c r="C118" s="17">
        <v>26.2</v>
      </c>
      <c r="D118" s="18">
        <v>47.5</v>
      </c>
      <c r="E118" s="18">
        <v>79.7</v>
      </c>
      <c r="F118" s="19" t="s">
        <v>9</v>
      </c>
    </row>
    <row r="119" customHeight="1" spans="1:6">
      <c r="A119" s="10">
        <v>45536</v>
      </c>
      <c r="B119" s="11">
        <v>48.2</v>
      </c>
      <c r="C119" s="12">
        <v>26.4</v>
      </c>
      <c r="D119" s="13">
        <v>46.9</v>
      </c>
      <c r="E119" s="13">
        <v>73.9</v>
      </c>
      <c r="F119" s="14" t="s">
        <v>9</v>
      </c>
    </row>
    <row r="120" customHeight="1" spans="1:6">
      <c r="A120" s="15">
        <v>45566</v>
      </c>
      <c r="B120" s="16">
        <v>48.5</v>
      </c>
      <c r="C120" s="17">
        <v>27.5</v>
      </c>
      <c r="D120" s="35">
        <v>50.3</v>
      </c>
      <c r="E120" s="18">
        <v>74</v>
      </c>
      <c r="F120" s="19" t="s">
        <v>9</v>
      </c>
    </row>
    <row r="121" customHeight="1" spans="1:6">
      <c r="A121" s="10">
        <v>45597</v>
      </c>
      <c r="B121" s="11">
        <v>49.3</v>
      </c>
      <c r="C121" s="12">
        <v>25</v>
      </c>
      <c r="D121" s="13">
        <v>47.6</v>
      </c>
      <c r="E121" s="13">
        <v>73.4</v>
      </c>
      <c r="F121" s="14" t="s">
        <v>9</v>
      </c>
    </row>
    <row r="122" customHeight="1" spans="1:6">
      <c r="A122" s="20">
        <v>45627</v>
      </c>
      <c r="B122" s="21">
        <v>49.7</v>
      </c>
      <c r="C122" s="22">
        <v>24.1</v>
      </c>
      <c r="D122" s="23">
        <v>47.1</v>
      </c>
      <c r="E122" s="23">
        <v>73.6</v>
      </c>
      <c r="F122" s="24" t="s">
        <v>9</v>
      </c>
    </row>
  </sheetData>
  <mergeCells count="1">
    <mergeCell ref="A1:F1"/>
  </mergeCells>
  <conditionalFormatting sqref="B3:B122">
    <cfRule type="cellIs" dxfId="21" priority="1" operator="greaterThan">
      <formula>20</formula>
    </cfRule>
  </conditionalFormatting>
  <conditionalFormatting sqref="C3:C12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showGridLines="0" workbookViewId="0">
      <pane ySplit="2" topLeftCell="A3" activePane="bottomLeft" state="frozen"/>
      <selection/>
      <selection pane="bottomLeft" activeCell="B17" sqref="B17"/>
    </sheetView>
  </sheetViews>
  <sheetFormatPr defaultColWidth="8.71428571428571" defaultRowHeight="15" outlineLevelCol="3"/>
  <cols>
    <col min="1" max="1" width="12" customWidth="1"/>
    <col min="2" max="2" width="45" customWidth="1"/>
    <col min="3" max="3" width="22" customWidth="1"/>
    <col min="4" max="4" width="55" customWidth="1"/>
  </cols>
  <sheetData>
    <row r="1" ht="27.75" customHeight="1" spans="1:4">
      <c r="A1" s="1" t="s">
        <v>20</v>
      </c>
      <c r="B1" s="1"/>
      <c r="C1" s="1"/>
      <c r="D1" s="1"/>
    </row>
    <row r="2" ht="31.5" customHeight="1" spans="1:4">
      <c r="A2" s="2" t="s">
        <v>1</v>
      </c>
      <c r="B2" s="2" t="s">
        <v>21</v>
      </c>
      <c r="C2" s="2" t="s">
        <v>22</v>
      </c>
      <c r="D2" s="2" t="s">
        <v>23</v>
      </c>
    </row>
    <row r="3" ht="27.75" customHeight="1" spans="1:4">
      <c r="A3" s="3" t="s">
        <v>24</v>
      </c>
      <c r="B3" s="4" t="s">
        <v>25</v>
      </c>
      <c r="C3" s="4" t="s">
        <v>26</v>
      </c>
      <c r="D3" s="4" t="s">
        <v>27</v>
      </c>
    </row>
    <row r="4" ht="27.75" customHeight="1" spans="1:4">
      <c r="A4" s="5" t="s">
        <v>28</v>
      </c>
      <c r="B4" s="6" t="s">
        <v>29</v>
      </c>
      <c r="C4" s="6" t="s">
        <v>30</v>
      </c>
      <c r="D4" s="6" t="s">
        <v>31</v>
      </c>
    </row>
    <row r="5" ht="27.75" customHeight="1" spans="1:4">
      <c r="A5" s="3" t="s">
        <v>32</v>
      </c>
      <c r="B5" s="4" t="s">
        <v>33</v>
      </c>
      <c r="C5" s="4" t="s">
        <v>26</v>
      </c>
      <c r="D5" s="4" t="s">
        <v>34</v>
      </c>
    </row>
    <row r="6" ht="27.75" customHeight="1" spans="1:4">
      <c r="A6" s="5" t="s">
        <v>35</v>
      </c>
      <c r="B6" s="6" t="s">
        <v>36</v>
      </c>
      <c r="C6" s="6" t="s">
        <v>37</v>
      </c>
      <c r="D6" s="6" t="s">
        <v>38</v>
      </c>
    </row>
    <row r="7" ht="27.75" customHeight="1" spans="1:4">
      <c r="A7" s="3" t="s">
        <v>39</v>
      </c>
      <c r="B7" s="4" t="s">
        <v>40</v>
      </c>
      <c r="C7" s="4" t="s">
        <v>41</v>
      </c>
      <c r="D7" s="4" t="s">
        <v>42</v>
      </c>
    </row>
    <row r="8" ht="27.75" customHeight="1" spans="1:4">
      <c r="A8" s="5" t="s">
        <v>43</v>
      </c>
      <c r="B8" s="6" t="s">
        <v>44</v>
      </c>
      <c r="C8" s="6" t="s">
        <v>45</v>
      </c>
      <c r="D8" s="6" t="s">
        <v>46</v>
      </c>
    </row>
    <row r="9" ht="27.75" customHeight="1" spans="1:4">
      <c r="A9" s="3" t="s">
        <v>47</v>
      </c>
      <c r="B9" s="4" t="s">
        <v>48</v>
      </c>
      <c r="C9" s="4" t="s">
        <v>49</v>
      </c>
      <c r="D9" s="4" t="s">
        <v>50</v>
      </c>
    </row>
    <row r="10" ht="27.75" customHeight="1" spans="1:4">
      <c r="A10" s="5" t="s">
        <v>51</v>
      </c>
      <c r="B10" s="6" t="s">
        <v>52</v>
      </c>
      <c r="C10" s="6" t="s">
        <v>53</v>
      </c>
      <c r="D10" s="6" t="s">
        <v>54</v>
      </c>
    </row>
    <row r="11" ht="27.75" customHeight="1" spans="1:4">
      <c r="A11" s="3" t="s">
        <v>55</v>
      </c>
      <c r="B11" s="4" t="s">
        <v>56</v>
      </c>
      <c r="C11" s="4" t="s">
        <v>26</v>
      </c>
      <c r="D11" s="4" t="s">
        <v>57</v>
      </c>
    </row>
    <row r="12" ht="27.75" customHeight="1" spans="1:4">
      <c r="A12" s="5" t="s">
        <v>58</v>
      </c>
      <c r="B12" s="6" t="s">
        <v>59</v>
      </c>
      <c r="C12" s="6" t="s">
        <v>45</v>
      </c>
      <c r="D12" s="6" t="s">
        <v>60</v>
      </c>
    </row>
    <row r="13" ht="27.75" customHeight="1" spans="1:4">
      <c r="A13" s="3" t="s">
        <v>61</v>
      </c>
      <c r="B13" s="4" t="s">
        <v>62</v>
      </c>
      <c r="C13" s="4" t="s">
        <v>26</v>
      </c>
      <c r="D13" s="4" t="s">
        <v>63</v>
      </c>
    </row>
    <row r="14" ht="27.75" customHeight="1" spans="1:4">
      <c r="A14" s="5" t="s">
        <v>64</v>
      </c>
      <c r="B14" s="6" t="s">
        <v>65</v>
      </c>
      <c r="C14" s="6" t="s">
        <v>26</v>
      </c>
      <c r="D14" s="6" t="s">
        <v>66</v>
      </c>
    </row>
    <row r="15" ht="27.75" customHeight="1" spans="1:4">
      <c r="A15" s="3" t="s">
        <v>67</v>
      </c>
      <c r="B15" s="4" t="s">
        <v>68</v>
      </c>
      <c r="C15" s="4" t="s">
        <v>53</v>
      </c>
      <c r="D15" s="4" t="s">
        <v>69</v>
      </c>
    </row>
    <row r="16" ht="27.75" customHeight="1" spans="1:4">
      <c r="A16" s="5" t="s">
        <v>70</v>
      </c>
      <c r="B16" s="6" t="s">
        <v>71</v>
      </c>
      <c r="C16" s="6" t="s">
        <v>49</v>
      </c>
      <c r="D16" s="6" t="s">
        <v>72</v>
      </c>
    </row>
    <row r="17" ht="27.75" customHeight="1" spans="1:4">
      <c r="A17" s="3" t="s">
        <v>73</v>
      </c>
      <c r="B17" s="4" t="s">
        <v>74</v>
      </c>
      <c r="C17" s="4" t="s">
        <v>49</v>
      </c>
      <c r="D17" s="4" t="s">
        <v>75</v>
      </c>
    </row>
    <row r="18" ht="27.75" customHeight="1" spans="1:4">
      <c r="A18" s="5" t="s">
        <v>76</v>
      </c>
      <c r="B18" s="6" t="s">
        <v>77</v>
      </c>
      <c r="C18" s="6" t="s">
        <v>26</v>
      </c>
      <c r="D18" s="6" t="s">
        <v>78</v>
      </c>
    </row>
    <row r="19" ht="27.75" customHeight="1" spans="1:4">
      <c r="A19" s="3" t="s">
        <v>79</v>
      </c>
      <c r="B19" s="4" t="s">
        <v>80</v>
      </c>
      <c r="C19" s="4" t="s">
        <v>81</v>
      </c>
      <c r="D19" s="4" t="s">
        <v>82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Suez_Canal</vt:lpstr>
      <vt:lpstr>Foreign_Trade</vt:lpstr>
      <vt:lpstr>Macro_Indicators</vt:lpstr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Fareed</cp:lastModifiedBy>
  <cp:revision>0</cp:revision>
  <dcterms:created xsi:type="dcterms:W3CDTF">2026-06-08T20:18:00Z</dcterms:created>
  <dcterms:modified xsi:type="dcterms:W3CDTF">2026-06-30T20:57:55Z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FC47348609C2477590B4CF11C176B01C_13</vt:lpwstr>
  </property>
</Properties>
</file>